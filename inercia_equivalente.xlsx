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tmp" ContentType="image/png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geryl\OneDrive\Escritorio\LOSA COMO ETABS CON PYTON\0.- ESPESOR PYTON CALCULO INERCIA EXCEL\"/>
    </mc:Choice>
  </mc:AlternateContent>
  <xr:revisionPtr revIDLastSave="0" documentId="13_ncr:1_{CCA6236A-C51A-4B12-93E3-E1E14FA3AFAB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20 CM" sheetId="2" r:id="rId1"/>
    <sheet name="DISEÑO DE LOSAS" sheetId="3" r:id="rId2"/>
  </sheets>
  <definedNames>
    <definedName name="_xlnm.Print_Area" localSheetId="0">'20 CM'!$A$1:$V$34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4" i="3" l="1"/>
  <c r="G12" i="2"/>
  <c r="M13" i="3"/>
  <c r="L13" i="3" s="1"/>
  <c r="M8" i="3"/>
  <c r="G13" i="2"/>
  <c r="G10" i="2"/>
  <c r="I6" i="2"/>
  <c r="N9" i="2"/>
  <c r="M9" i="2"/>
  <c r="F5" i="2"/>
  <c r="J5" i="2"/>
  <c r="H23" i="3"/>
  <c r="H22" i="3"/>
  <c r="B5" i="2"/>
  <c r="B6" i="2" s="1"/>
  <c r="I7" i="2"/>
  <c r="G7" i="2"/>
  <c r="H7" i="2" s="1"/>
  <c r="F7" i="2"/>
  <c r="I5" i="2"/>
  <c r="G5" i="2"/>
  <c r="G6" i="2" s="1"/>
  <c r="F6" i="2"/>
  <c r="L22" i="3" l="1"/>
  <c r="G22" i="3"/>
  <c r="I22" i="3" s="1"/>
  <c r="J22" i="3"/>
  <c r="K22" i="3" s="1"/>
  <c r="J23" i="3"/>
  <c r="J41" i="3" s="1"/>
  <c r="H6" i="2"/>
  <c r="H5" i="2"/>
  <c r="H8" i="2" s="1"/>
  <c r="G23" i="3"/>
  <c r="N13" i="3"/>
  <c r="F8" i="2"/>
  <c r="L23" i="3" l="1"/>
  <c r="J40" i="3" s="1"/>
  <c r="I23" i="3"/>
  <c r="K23" i="3" l="1"/>
  <c r="K25" i="3" s="1"/>
  <c r="I25" i="3"/>
  <c r="J7" i="2"/>
  <c r="K7" i="2" s="1"/>
  <c r="J6" i="2"/>
  <c r="K6" i="2" s="1"/>
  <c r="K5" i="2"/>
  <c r="I44" i="3" l="1"/>
  <c r="M22" i="3" s="1"/>
  <c r="K8" i="2"/>
  <c r="K43" i="3" l="1"/>
  <c r="M23" i="3"/>
  <c r="N23" i="3" s="1"/>
  <c r="O23" i="3" s="1"/>
  <c r="N22" i="3"/>
  <c r="O22" i="3" s="1"/>
  <c r="O25" i="3" l="1"/>
  <c r="H57" i="3"/>
  <c r="J57" i="3" s="1"/>
  <c r="R71" i="3" s="1"/>
  <c r="M29" i="3"/>
</calcChain>
</file>

<file path=xl/sharedStrings.xml><?xml version="1.0" encoding="utf-8"?>
<sst xmlns="http://schemas.openxmlformats.org/spreadsheetml/2006/main" count="83" uniqueCount="56">
  <si>
    <t>Datos Arq</t>
  </si>
  <si>
    <t>Lmax</t>
  </si>
  <si>
    <t>m</t>
  </si>
  <si>
    <t>hmin</t>
  </si>
  <si>
    <t>cm</t>
  </si>
  <si>
    <t>I</t>
  </si>
  <si>
    <t>cm4</t>
  </si>
  <si>
    <t>Datos de losa</t>
  </si>
  <si>
    <t>H</t>
  </si>
  <si>
    <t>bn</t>
  </si>
  <si>
    <t>bb</t>
  </si>
  <si>
    <t>tc</t>
  </si>
  <si>
    <t>A</t>
  </si>
  <si>
    <t>y</t>
  </si>
  <si>
    <t>Ay</t>
  </si>
  <si>
    <t>Io</t>
  </si>
  <si>
    <t>d2</t>
  </si>
  <si>
    <t>It</t>
  </si>
  <si>
    <t>he</t>
  </si>
  <si>
    <t>En esta pagina solo revise el cambio de los espesores de losa el B6</t>
  </si>
  <si>
    <t>Gery Lorenzo Marcillo Merino</t>
  </si>
  <si>
    <t xml:space="preserve"> Ing. Estructural.</t>
  </si>
  <si>
    <t>NOMBRE DEL PROYECTO: SEPTIMO A 2</t>
  </si>
  <si>
    <t>LUGAR: UNIVERSIDAD ESTATAL DEL SUR DE MANABÍ</t>
  </si>
  <si>
    <t>x</t>
  </si>
  <si>
    <t xml:space="preserve">Figura </t>
  </si>
  <si>
    <t>h1</t>
  </si>
  <si>
    <t>bi</t>
  </si>
  <si>
    <t>Ai</t>
  </si>
  <si>
    <t>Yi</t>
  </si>
  <si>
    <t>Yi x Ai</t>
  </si>
  <si>
    <t>I (Inercia)</t>
  </si>
  <si>
    <t>di</t>
  </si>
  <si>
    <t>Ai x di²</t>
  </si>
  <si>
    <t>I +Ai x di²</t>
  </si>
  <si>
    <t>sumatoria</t>
  </si>
  <si>
    <t>Sumatoria</t>
  </si>
  <si>
    <t>la inercia de nuestra losa alivianada es =</t>
  </si>
  <si>
    <t>consultar inercia equivalente de cinco tesis para que sirve y que normativas hablan de ese tema</t>
  </si>
  <si>
    <t>definiciones de cálculo.</t>
  </si>
  <si>
    <t>area que resulta de la multiplicación de bi x h</t>
  </si>
  <si>
    <t>distancia respecto a un eje de referencia</t>
  </si>
  <si>
    <t>Ycg=</t>
  </si>
  <si>
    <t>cm3</t>
  </si>
  <si>
    <t>distancia entre el centroide particular de cada figura respecto a toda la figura.(c/fig tiene un centroide)</t>
  </si>
  <si>
    <t>el centroide está ubicado a 13,75 (altura).</t>
  </si>
  <si>
    <t>ALTURA EQUIVALENTE</t>
  </si>
  <si>
    <t>Seccion Real</t>
  </si>
  <si>
    <t>Seccion Equivalente</t>
  </si>
  <si>
    <t>Prototipo escalado de un paño de 100 cm</t>
  </si>
  <si>
    <t>1.- ANOTAR LA TABLITA LIBRO DE MARCELO GUERRA</t>
  </si>
  <si>
    <t>2.- DATOS ARQUITETÓNICOS</t>
  </si>
  <si>
    <t>3.- DATOS DE LOSA</t>
  </si>
  <si>
    <t>4.- DESARROLLO DE LA INERCIA EQUIVALENTE</t>
  </si>
  <si>
    <t>4.1 CALCULAR AREAS DE 3 FIGURAS GEOMÉTRICAS</t>
  </si>
  <si>
    <t>4.2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</si>
</sst>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0\ &quot;cm&quot;"/>
    <numFmt numFmtId="166" formatCode="0.00\ &quot;cm2&quot;"/>
    <numFmt numFmtId="167" formatCode="0.00\ &quot;cm3&quot;"/>
    <numFmt numFmtId="168" formatCode="0.00\ &quot;cm4&quot;"/>
    <numFmt numFmtId="169" formatCode="0.000"/>
  </numFmts>
  <fonts count="14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sz val="9"/>
      <name val="Times New Roman"/>
      <family val="1"/>
    </font>
    <font>
      <sz val="8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94">
    <xf numFmtId="0" fontId="0" fillId="0" borderId="0" xfId="0"/>
    <xf numFmtId="2" fontId="0" fillId="0" borderId="0" xfId="0" applyNumberFormat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0" borderId="0" xfId="1" applyFont="1"/>
    <xf numFmtId="0" fontId="9" fillId="7" borderId="3" xfId="1" applyFont="1" applyFill="1" applyBorder="1" applyAlignment="1">
      <alignment horizontal="center" vertical="center" wrapText="1"/>
    </xf>
    <xf numFmtId="0" fontId="9" fillId="7" borderId="4" xfId="1" applyFont="1" applyFill="1" applyBorder="1" applyAlignment="1">
      <alignment horizontal="center" vertical="center" wrapText="1"/>
    </xf>
    <xf numFmtId="0" fontId="9" fillId="7" borderId="5" xfId="1" applyFont="1" applyFill="1" applyBorder="1" applyAlignment="1">
      <alignment horizontal="center" vertical="center" wrapText="1"/>
    </xf>
    <xf numFmtId="0" fontId="9" fillId="7" borderId="7" xfId="1" applyFont="1" applyFill="1" applyBorder="1" applyAlignment="1">
      <alignment horizontal="center" vertical="center" wrapText="1"/>
    </xf>
    <xf numFmtId="0" fontId="9" fillId="7" borderId="8" xfId="1" applyFont="1" applyFill="1" applyBorder="1" applyAlignment="1">
      <alignment horizontal="center" vertical="center" wrapText="1"/>
    </xf>
    <xf numFmtId="0" fontId="9" fillId="7" borderId="9" xfId="1" applyFont="1" applyFill="1" applyBorder="1" applyAlignment="1">
      <alignment horizontal="center" vertical="center" wrapText="1"/>
    </xf>
    <xf numFmtId="0" fontId="8" fillId="6" borderId="6" xfId="1" applyFont="1" applyFill="1" applyBorder="1" applyAlignment="1">
      <alignment horizontal="center" vertical="center" wrapText="1"/>
    </xf>
    <xf numFmtId="0" fontId="9" fillId="7" borderId="10" xfId="1" applyFont="1" applyFill="1" applyBorder="1" applyAlignment="1">
      <alignment horizontal="center" vertical="center"/>
    </xf>
    <xf numFmtId="0" fontId="9" fillId="7" borderId="11" xfId="1" applyFont="1" applyFill="1" applyBorder="1" applyAlignment="1">
      <alignment horizontal="center" vertical="center"/>
    </xf>
    <xf numFmtId="165" fontId="8" fillId="0" borderId="0" xfId="1" applyNumberFormat="1" applyFont="1"/>
    <xf numFmtId="165" fontId="8" fillId="0" borderId="0" xfId="1" applyNumberFormat="1" applyFont="1" applyAlignment="1">
      <alignment horizontal="center"/>
    </xf>
    <xf numFmtId="0" fontId="10" fillId="0" borderId="0" xfId="1" applyFont="1" applyAlignment="1">
      <alignment horizontal="center"/>
    </xf>
    <xf numFmtId="0" fontId="7" fillId="0" borderId="0" xfId="1" applyFont="1"/>
    <xf numFmtId="0" fontId="9" fillId="7" borderId="12" xfId="1" applyFont="1" applyFill="1" applyBorder="1" applyAlignment="1">
      <alignment horizontal="center" vertical="center"/>
    </xf>
    <xf numFmtId="165" fontId="8" fillId="0" borderId="0" xfId="1" applyNumberFormat="1" applyFont="1" applyAlignment="1">
      <alignment horizontal="center" vertical="center"/>
    </xf>
    <xf numFmtId="0" fontId="11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165" fontId="8" fillId="0" borderId="1" xfId="1" applyNumberFormat="1" applyFont="1" applyBorder="1"/>
    <xf numFmtId="166" fontId="8" fillId="0" borderId="1" xfId="1" applyNumberFormat="1" applyFont="1" applyBorder="1"/>
    <xf numFmtId="167" fontId="8" fillId="0" borderId="1" xfId="1" applyNumberFormat="1" applyFont="1" applyBorder="1"/>
    <xf numFmtId="2" fontId="8" fillId="0" borderId="1" xfId="1" applyNumberFormat="1" applyFont="1" applyBorder="1"/>
    <xf numFmtId="0" fontId="8" fillId="0" borderId="1" xfId="1" applyFont="1" applyBorder="1"/>
    <xf numFmtId="0" fontId="7" fillId="0" borderId="1" xfId="1" applyFont="1" applyBorder="1"/>
    <xf numFmtId="166" fontId="8" fillId="6" borderId="1" xfId="1" applyNumberFormat="1" applyFont="1" applyFill="1" applyBorder="1"/>
    <xf numFmtId="167" fontId="12" fillId="6" borderId="1" xfId="1" applyNumberFormat="1" applyFont="1" applyFill="1" applyBorder="1"/>
    <xf numFmtId="168" fontId="13" fillId="0" borderId="1" xfId="1" applyNumberFormat="1" applyFont="1" applyBorder="1"/>
    <xf numFmtId="168" fontId="8" fillId="6" borderId="1" xfId="1" applyNumberFormat="1" applyFont="1" applyFill="1" applyBorder="1"/>
    <xf numFmtId="0" fontId="7" fillId="0" borderId="0" xfId="1" applyFont="1" applyAlignment="1">
      <alignment horizontal="center"/>
    </xf>
    <xf numFmtId="0" fontId="8" fillId="6" borderId="3" xfId="1" applyFont="1" applyFill="1" applyBorder="1"/>
    <xf numFmtId="0" fontId="8" fillId="6" borderId="4" xfId="1" applyFont="1" applyFill="1" applyBorder="1"/>
    <xf numFmtId="0" fontId="8" fillId="6" borderId="5" xfId="1" applyFont="1" applyFill="1" applyBorder="1"/>
    <xf numFmtId="0" fontId="8" fillId="6" borderId="7" xfId="1" applyFont="1" applyFill="1" applyBorder="1"/>
    <xf numFmtId="0" fontId="8" fillId="6" borderId="8" xfId="1" applyFont="1" applyFill="1" applyBorder="1"/>
    <xf numFmtId="0" fontId="8" fillId="6" borderId="9" xfId="1" applyFont="1" applyFill="1" applyBorder="1"/>
    <xf numFmtId="0" fontId="8" fillId="6" borderId="0" xfId="1" applyFont="1" applyFill="1"/>
    <xf numFmtId="0" fontId="8" fillId="6" borderId="10" xfId="1" applyFont="1" applyFill="1" applyBorder="1"/>
    <xf numFmtId="167" fontId="8" fillId="0" borderId="0" xfId="1" applyNumberFormat="1" applyFont="1"/>
    <xf numFmtId="165" fontId="8" fillId="6" borderId="0" xfId="1" applyNumberFormat="1" applyFont="1" applyFill="1" applyAlignment="1">
      <alignment horizontal="right" vertical="center"/>
    </xf>
    <xf numFmtId="166" fontId="8" fillId="0" borderId="0" xfId="1" applyNumberFormat="1" applyFont="1"/>
    <xf numFmtId="0" fontId="0" fillId="0" borderId="1" xfId="0" applyBorder="1"/>
    <xf numFmtId="165" fontId="8" fillId="0" borderId="0" xfId="1" applyNumberFormat="1" applyFont="1" applyAlignment="1">
      <alignment horizontal="left" vertical="center"/>
    </xf>
    <xf numFmtId="0" fontId="9" fillId="10" borderId="3" xfId="1" applyFont="1" applyFill="1" applyBorder="1" applyAlignment="1">
      <alignment horizontal="center" vertical="center" wrapText="1"/>
    </xf>
    <xf numFmtId="0" fontId="9" fillId="10" borderId="4" xfId="1" applyFont="1" applyFill="1" applyBorder="1" applyAlignment="1">
      <alignment horizontal="center" vertical="center" wrapText="1"/>
    </xf>
    <xf numFmtId="0" fontId="9" fillId="10" borderId="5" xfId="1" applyFont="1" applyFill="1" applyBorder="1" applyAlignment="1">
      <alignment horizontal="center" vertical="center" wrapText="1"/>
    </xf>
    <xf numFmtId="165" fontId="8" fillId="0" borderId="6" xfId="1" applyNumberFormat="1" applyFont="1" applyBorder="1" applyAlignment="1">
      <alignment horizontal="center" vertical="center" wrapText="1"/>
    </xf>
    <xf numFmtId="0" fontId="9" fillId="10" borderId="7" xfId="1" applyFont="1" applyFill="1" applyBorder="1" applyAlignment="1">
      <alignment horizontal="center" vertical="center" wrapText="1"/>
    </xf>
    <xf numFmtId="0" fontId="9" fillId="10" borderId="8" xfId="1" applyFont="1" applyFill="1" applyBorder="1" applyAlignment="1">
      <alignment horizontal="center" vertical="center" wrapText="1"/>
    </xf>
    <xf numFmtId="0" fontId="9" fillId="10" borderId="9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 wrapText="1"/>
    </xf>
    <xf numFmtId="0" fontId="9" fillId="10" borderId="10" xfId="1" applyFont="1" applyFill="1" applyBorder="1" applyAlignment="1">
      <alignment horizontal="center" vertical="center"/>
    </xf>
    <xf numFmtId="2" fontId="0" fillId="0" borderId="0" xfId="0" applyNumberFormat="1"/>
    <xf numFmtId="0" fontId="9" fillId="10" borderId="11" xfId="1" applyFont="1" applyFill="1" applyBorder="1" applyAlignment="1">
      <alignment horizontal="center" vertical="center"/>
    </xf>
    <xf numFmtId="0" fontId="9" fillId="10" borderId="12" xfId="1" applyFont="1" applyFill="1" applyBorder="1" applyAlignment="1">
      <alignment horizontal="center" vertical="center"/>
    </xf>
    <xf numFmtId="165" fontId="8" fillId="5" borderId="0" xfId="1" applyNumberFormat="1" applyFont="1" applyFill="1" applyAlignment="1">
      <alignment horizontal="center"/>
    </xf>
    <xf numFmtId="165" fontId="8" fillId="5" borderId="6" xfId="1" applyNumberFormat="1" applyFont="1" applyFill="1" applyBorder="1" applyAlignment="1">
      <alignment horizontal="center" vertical="center" wrapText="1"/>
    </xf>
    <xf numFmtId="169" fontId="0" fillId="0" borderId="0" xfId="0" applyNumberFormat="1" applyAlignment="1">
      <alignment horizontal="center"/>
    </xf>
    <xf numFmtId="2" fontId="4" fillId="0" borderId="0" xfId="0" applyNumberFormat="1" applyFont="1" applyAlignment="1">
      <alignment horizontal="left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left"/>
    </xf>
    <xf numFmtId="2" fontId="1" fillId="2" borderId="1" xfId="0" applyNumberFormat="1" applyFont="1" applyFill="1" applyBorder="1" applyAlignment="1">
      <alignment horizontal="center"/>
    </xf>
    <xf numFmtId="165" fontId="9" fillId="0" borderId="0" xfId="1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5" fontId="8" fillId="0" borderId="0" xfId="1" applyNumberFormat="1" applyFont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165" fontId="7" fillId="6" borderId="0" xfId="1" applyNumberFormat="1" applyFont="1" applyFill="1" applyAlignment="1">
      <alignment horizontal="center" vertical="center" wrapText="1"/>
    </xf>
    <xf numFmtId="0" fontId="10" fillId="8" borderId="0" xfId="1" applyFont="1" applyFill="1" applyAlignment="1">
      <alignment horizontal="center" vertical="center" wrapText="1"/>
    </xf>
    <xf numFmtId="168" fontId="9" fillId="6" borderId="0" xfId="1" applyNumberFormat="1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168" fontId="0" fillId="0" borderId="13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2" fontId="7" fillId="9" borderId="2" xfId="1" applyNumberFormat="1" applyFont="1" applyFill="1" applyBorder="1" applyAlignment="1">
      <alignment horizontal="center" vertical="center" wrapText="1"/>
    </xf>
    <xf numFmtId="2" fontId="7" fillId="9" borderId="0" xfId="1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horizontal="left" vertical="center"/>
    </xf>
  </cellXfs>
  <cellStyles count="2">
    <cellStyle name="Normal" xfId="0" builtinId="0"/>
    <cellStyle name="Normal 3" xfId="1" xr:uid="{08B7A833-1D25-473E-91D8-D5BBA28A93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tmp"/><Relationship Id="rId1" Type="http://schemas.openxmlformats.org/officeDocument/2006/relationships/image" Target="../media/image1.tmp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205469</xdr:colOff>
      <xdr:row>4</xdr:row>
      <xdr:rowOff>176891</xdr:rowOff>
    </xdr:from>
    <xdr:to>
      <xdr:col>21</xdr:col>
      <xdr:colOff>360947</xdr:colOff>
      <xdr:row>12</xdr:row>
      <xdr:rowOff>42916</xdr:rowOff>
    </xdr:to>
    <xdr:pic>
      <xdr:nvPicPr>
        <xdr:cNvPr id="11" name="Imagen 10" descr="Recorte de pantalla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522" y="938891"/>
          <a:ext cx="3474189" cy="1390025"/>
        </a:xfrm>
        <a:prstGeom prst="rect">
          <a:avLst/>
        </a:prstGeom>
      </xdr:spPr>
    </xdr:pic>
    <xdr:clientData/>
  </xdr:twoCellAnchor>
  <xdr:twoCellAnchor>
    <xdr:from>
      <xdr:col>13</xdr:col>
      <xdr:colOff>206829</xdr:colOff>
      <xdr:row>4</xdr:row>
      <xdr:rowOff>13607</xdr:rowOff>
    </xdr:from>
    <xdr:to>
      <xdr:col>21</xdr:col>
      <xdr:colOff>370974</xdr:colOff>
      <xdr:row>4</xdr:row>
      <xdr:rowOff>50132</xdr:rowOff>
    </xdr:to>
    <xdr:cxnSp macro="">
      <xdr:nvCxnSpPr>
        <xdr:cNvPr id="12" name="Conector recto de flecha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CxnSpPr/>
      </xdr:nvCxnSpPr>
      <xdr:spPr>
        <a:xfrm>
          <a:off x="6322882" y="775607"/>
          <a:ext cx="3482855" cy="365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585107</xdr:colOff>
      <xdr:row>4</xdr:row>
      <xdr:rowOff>176893</xdr:rowOff>
    </xdr:from>
    <xdr:to>
      <xdr:col>13</xdr:col>
      <xdr:colOff>598714</xdr:colOff>
      <xdr:row>6</xdr:row>
      <xdr:rowOff>122465</xdr:rowOff>
    </xdr:to>
    <xdr:cxnSp macro="">
      <xdr:nvCxnSpPr>
        <xdr:cNvPr id="13" name="Conector recto de flecha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CxnSpPr/>
      </xdr:nvCxnSpPr>
      <xdr:spPr>
        <a:xfrm>
          <a:off x="2871107" y="18550618"/>
          <a:ext cx="13607" cy="326572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585107</xdr:colOff>
      <xdr:row>6</xdr:row>
      <xdr:rowOff>81643</xdr:rowOff>
    </xdr:from>
    <xdr:to>
      <xdr:col>13</xdr:col>
      <xdr:colOff>598714</xdr:colOff>
      <xdr:row>11</xdr:row>
      <xdr:rowOff>163286</xdr:rowOff>
    </xdr:to>
    <xdr:cxnSp macro="">
      <xdr:nvCxnSpPr>
        <xdr:cNvPr id="14" name="Conector recto de flecha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CxnSpPr/>
      </xdr:nvCxnSpPr>
      <xdr:spPr>
        <a:xfrm flipH="1">
          <a:off x="2871107" y="18836368"/>
          <a:ext cx="13607" cy="1034143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4</xdr:row>
      <xdr:rowOff>176893</xdr:rowOff>
    </xdr:from>
    <xdr:to>
      <xdr:col>13</xdr:col>
      <xdr:colOff>0</xdr:colOff>
      <xdr:row>12</xdr:row>
      <xdr:rowOff>40822</xdr:rowOff>
    </xdr:to>
    <xdr:cxnSp macro="">
      <xdr:nvCxnSpPr>
        <xdr:cNvPr id="15" name="Conector recto de flecha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CxnSpPr/>
      </xdr:nvCxnSpPr>
      <xdr:spPr>
        <a:xfrm>
          <a:off x="2286000" y="18550618"/>
          <a:ext cx="0" cy="1387929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12</xdr:row>
      <xdr:rowOff>176893</xdr:rowOff>
    </xdr:from>
    <xdr:to>
      <xdr:col>14</xdr:col>
      <xdr:colOff>680357</xdr:colOff>
      <xdr:row>12</xdr:row>
      <xdr:rowOff>176893</xdr:rowOff>
    </xdr:to>
    <xdr:cxnSp macro="">
      <xdr:nvCxnSpPr>
        <xdr:cNvPr id="16" name="Conector recto de flecha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CxnSpPr/>
      </xdr:nvCxnSpPr>
      <xdr:spPr>
        <a:xfrm>
          <a:off x="3048000" y="20074618"/>
          <a:ext cx="680357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680357</xdr:colOff>
      <xdr:row>12</xdr:row>
      <xdr:rowOff>176893</xdr:rowOff>
    </xdr:from>
    <xdr:to>
      <xdr:col>18</xdr:col>
      <xdr:colOff>176893</xdr:colOff>
      <xdr:row>13</xdr:row>
      <xdr:rowOff>0</xdr:rowOff>
    </xdr:to>
    <xdr:cxnSp macro="">
      <xdr:nvCxnSpPr>
        <xdr:cNvPr id="17" name="Conector recto de flecha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CxnSpPr/>
      </xdr:nvCxnSpPr>
      <xdr:spPr>
        <a:xfrm flipV="1">
          <a:off x="3728357" y="20074618"/>
          <a:ext cx="2544536" cy="13607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152400</xdr:colOff>
      <xdr:row>12</xdr:row>
      <xdr:rowOff>179614</xdr:rowOff>
    </xdr:from>
    <xdr:to>
      <xdr:col>19</xdr:col>
      <xdr:colOff>70757</xdr:colOff>
      <xdr:row>12</xdr:row>
      <xdr:rowOff>179614</xdr:rowOff>
    </xdr:to>
    <xdr:cxnSp macro="">
      <xdr:nvCxnSpPr>
        <xdr:cNvPr id="18" name="Conector recto de flecha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CxnSpPr/>
      </xdr:nvCxnSpPr>
      <xdr:spPr>
        <a:xfrm>
          <a:off x="6248400" y="20077339"/>
          <a:ext cx="680357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70757</xdr:colOff>
      <xdr:row>12</xdr:row>
      <xdr:rowOff>150395</xdr:rowOff>
    </xdr:from>
    <xdr:to>
      <xdr:col>21</xdr:col>
      <xdr:colOff>360948</xdr:colOff>
      <xdr:row>12</xdr:row>
      <xdr:rowOff>179615</xdr:rowOff>
    </xdr:to>
    <xdr:cxnSp macro="">
      <xdr:nvCxnSpPr>
        <xdr:cNvPr id="19" name="Conector recto de flecha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CxnSpPr/>
      </xdr:nvCxnSpPr>
      <xdr:spPr>
        <a:xfrm flipV="1">
          <a:off x="8462783" y="2436395"/>
          <a:ext cx="1332928" cy="2922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96969</xdr:colOff>
      <xdr:row>14</xdr:row>
      <xdr:rowOff>70184</xdr:rowOff>
    </xdr:from>
    <xdr:to>
      <xdr:col>21</xdr:col>
      <xdr:colOff>471237</xdr:colOff>
      <xdr:row>24</xdr:row>
      <xdr:rowOff>110289</xdr:rowOff>
    </xdr:to>
    <xdr:pic>
      <xdr:nvPicPr>
        <xdr:cNvPr id="2" name="Imagen 1" descr="Recorte de pantalla">
          <a:extLst>
            <a:ext uri="{FF2B5EF4-FFF2-40B4-BE49-F238E27FC236}">
              <a16:creationId xmlns:a16="http://schemas.microsoft.com/office/drawing/2014/main" id="{B8659949-5327-4E91-B681-E10ADB9D2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91390" y="2787316"/>
          <a:ext cx="3692979" cy="2045368"/>
        </a:xfrm>
        <a:prstGeom prst="rect">
          <a:avLst/>
        </a:prstGeom>
      </xdr:spPr>
    </xdr:pic>
    <xdr:clientData/>
  </xdr:twoCellAnchor>
  <xdr:twoCellAnchor editAs="oneCell">
    <xdr:from>
      <xdr:col>7</xdr:col>
      <xdr:colOff>348631</xdr:colOff>
      <xdr:row>15</xdr:row>
      <xdr:rowOff>70183</xdr:rowOff>
    </xdr:from>
    <xdr:to>
      <xdr:col>11</xdr:col>
      <xdr:colOff>41094</xdr:colOff>
      <xdr:row>23</xdr:row>
      <xdr:rowOff>90237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16684" y="2977815"/>
          <a:ext cx="1707752" cy="1644317"/>
        </a:xfrm>
        <a:prstGeom prst="rect">
          <a:avLst/>
        </a:prstGeom>
      </xdr:spPr>
    </xdr:pic>
    <xdr:clientData/>
  </xdr:twoCellAnchor>
  <xdr:twoCellAnchor>
    <xdr:from>
      <xdr:col>14</xdr:col>
      <xdr:colOff>70184</xdr:colOff>
      <xdr:row>9</xdr:row>
      <xdr:rowOff>60157</xdr:rowOff>
    </xdr:from>
    <xdr:to>
      <xdr:col>14</xdr:col>
      <xdr:colOff>300789</xdr:colOff>
      <xdr:row>10</xdr:row>
      <xdr:rowOff>160421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40E5E5D9-71F9-1A82-ADC7-694812A19CD4}"/>
            </a:ext>
          </a:extLst>
        </xdr:cNvPr>
        <xdr:cNvSpPr/>
      </xdr:nvSpPr>
      <xdr:spPr>
        <a:xfrm>
          <a:off x="5775158" y="1824789"/>
          <a:ext cx="230605" cy="29076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EC" sz="1500"/>
            <a:t>1</a:t>
          </a:r>
        </a:p>
      </xdr:txBody>
    </xdr:sp>
    <xdr:clientData/>
  </xdr:twoCellAnchor>
  <xdr:twoCellAnchor>
    <xdr:from>
      <xdr:col>18</xdr:col>
      <xdr:colOff>242636</xdr:colOff>
      <xdr:row>8</xdr:row>
      <xdr:rowOff>162426</xdr:rowOff>
    </xdr:from>
    <xdr:to>
      <xdr:col>18</xdr:col>
      <xdr:colOff>473241</xdr:colOff>
      <xdr:row>10</xdr:row>
      <xdr:rowOff>72190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166E3DB3-28C8-4414-B948-6A3B6911CD9D}"/>
            </a:ext>
          </a:extLst>
        </xdr:cNvPr>
        <xdr:cNvSpPr/>
      </xdr:nvSpPr>
      <xdr:spPr>
        <a:xfrm>
          <a:off x="7531768" y="1736558"/>
          <a:ext cx="230605" cy="29076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EC" sz="1500"/>
            <a:t>2</a:t>
          </a:r>
        </a:p>
      </xdr:txBody>
    </xdr:sp>
    <xdr:clientData/>
  </xdr:twoCellAnchor>
  <xdr:twoCellAnchor>
    <xdr:from>
      <xdr:col>17</xdr:col>
      <xdr:colOff>184483</xdr:colOff>
      <xdr:row>5</xdr:row>
      <xdr:rowOff>64168</xdr:rowOff>
    </xdr:from>
    <xdr:to>
      <xdr:col>18</xdr:col>
      <xdr:colOff>4009</xdr:colOff>
      <xdr:row>6</xdr:row>
      <xdr:rowOff>164432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EB374B4-8D6A-48AC-834C-CBAC67EF4EA9}"/>
            </a:ext>
          </a:extLst>
        </xdr:cNvPr>
        <xdr:cNvSpPr/>
      </xdr:nvSpPr>
      <xdr:spPr>
        <a:xfrm>
          <a:off x="7062536" y="1066800"/>
          <a:ext cx="230605" cy="29076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EC" sz="1500"/>
            <a:t>3</a:t>
          </a:r>
        </a:p>
      </xdr:txBody>
    </xdr:sp>
    <xdr:clientData/>
  </xdr:twoCellAnchor>
  <xdr:twoCellAnchor>
    <xdr:from>
      <xdr:col>15</xdr:col>
      <xdr:colOff>10026</xdr:colOff>
      <xdr:row>6</xdr:row>
      <xdr:rowOff>180474</xdr:rowOff>
    </xdr:from>
    <xdr:to>
      <xdr:col>18</xdr:col>
      <xdr:colOff>130342</xdr:colOff>
      <xdr:row>11</xdr:row>
      <xdr:rowOff>160422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246831C6-A3CE-096B-953D-0867242DE28B}"/>
            </a:ext>
          </a:extLst>
        </xdr:cNvPr>
        <xdr:cNvSpPr/>
      </xdr:nvSpPr>
      <xdr:spPr>
        <a:xfrm>
          <a:off x="6065921" y="1373606"/>
          <a:ext cx="1353553" cy="932448"/>
        </a:xfrm>
        <a:prstGeom prst="rect">
          <a:avLst/>
        </a:prstGeom>
        <a:pattFill prst="pct20">
          <a:fgClr>
            <a:schemeClr val="accent1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19</xdr:col>
      <xdr:colOff>22057</xdr:colOff>
      <xdr:row>7</xdr:row>
      <xdr:rowOff>2006</xdr:rowOff>
    </xdr:from>
    <xdr:to>
      <xdr:col>21</xdr:col>
      <xdr:colOff>332873</xdr:colOff>
      <xdr:row>11</xdr:row>
      <xdr:rowOff>160422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68C98A6A-9ECA-4D01-8FAD-19CDFC72C5C7}"/>
            </a:ext>
          </a:extLst>
        </xdr:cNvPr>
        <xdr:cNvSpPr/>
      </xdr:nvSpPr>
      <xdr:spPr>
        <a:xfrm>
          <a:off x="7792452" y="1385638"/>
          <a:ext cx="1353553" cy="920416"/>
        </a:xfrm>
        <a:prstGeom prst="rect">
          <a:avLst/>
        </a:prstGeom>
        <a:pattFill prst="pct20">
          <a:fgClr>
            <a:schemeClr val="accent1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 editAs="oneCell">
    <xdr:from>
      <xdr:col>8</xdr:col>
      <xdr:colOff>401053</xdr:colOff>
      <xdr:row>8</xdr:row>
      <xdr:rowOff>160421</xdr:rowOff>
    </xdr:from>
    <xdr:to>
      <xdr:col>10</xdr:col>
      <xdr:colOff>350921</xdr:colOff>
      <xdr:row>14</xdr:row>
      <xdr:rowOff>72717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16396C9C-6029-566A-BDCB-3C1D78FD1C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979" t="61509" r="44508" b="21287"/>
        <a:stretch>
          <a:fillRect/>
        </a:stretch>
      </xdr:blipFill>
      <xdr:spPr bwMode="auto">
        <a:xfrm>
          <a:off x="3930316" y="1734553"/>
          <a:ext cx="992605" cy="10552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100691</xdr:colOff>
      <xdr:row>0</xdr:row>
      <xdr:rowOff>0</xdr:rowOff>
    </xdr:from>
    <xdr:ext cx="3016339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 txBox="1"/>
          </xdr:nvSpPr>
          <xdr:spPr>
            <a:xfrm>
              <a:off x="5434691" y="8961664"/>
              <a:ext cx="301633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C" sz="1400" b="1"/>
                <a:t>INERCIA</a:t>
              </a:r>
              <a14:m>
                <m:oMath xmlns:m="http://schemas.openxmlformats.org/officeDocument/2006/math">
                  <m:r>
                    <a:rPr lang="es-EC" sz="1400" b="1" i="1">
                      <a:latin typeface="Cambria Math" panose="02040503050406030204" pitchFamily="18" charset="0"/>
                    </a:rPr>
                    <m:t> </m:t>
                  </m:r>
                  <m:r>
                    <a:rPr lang="es-EC" sz="1400" b="1" i="1">
                      <a:latin typeface="Cambria Math" panose="02040503050406030204" pitchFamily="18" charset="0"/>
                    </a:rPr>
                    <m:t>𝑪𝑶𝑳𝑼𝑴𝑵𝑨</m:t>
                  </m:r>
                  <m:r>
                    <a:rPr lang="es-EC" sz="1400" b="1" i="1">
                      <a:latin typeface="Cambria Math" panose="02040503050406030204" pitchFamily="18" charset="0"/>
                    </a:rPr>
                    <m:t>&gt;</m:t>
                  </m:r>
                  <m:r>
                    <a:rPr lang="es-EC" sz="1400" b="1" i="1">
                      <a:latin typeface="Cambria Math" panose="02040503050406030204" pitchFamily="18" charset="0"/>
                    </a:rPr>
                    <m:t>𝑰𝑵𝑬𝑹𝑪𝑰𝑨</m:t>
                  </m:r>
                  <m:r>
                    <a:rPr lang="es-EC" sz="1400" b="1" i="1">
                      <a:latin typeface="Cambria Math" panose="02040503050406030204" pitchFamily="18" charset="0"/>
                    </a:rPr>
                    <m:t> </m:t>
                  </m:r>
                  <m:r>
                    <a:rPr lang="es-EC" sz="1400" b="1" i="1">
                      <a:latin typeface="Cambria Math" panose="02040503050406030204" pitchFamily="18" charset="0"/>
                    </a:rPr>
                    <m:t>𝑽𝑰𝑮𝑨</m:t>
                  </m:r>
                </m:oMath>
              </a14:m>
              <a:endParaRPr lang="es-EC" sz="1400" b="1"/>
            </a:p>
          </xdr:txBody>
        </xdr:sp>
      </mc:Choice>
      <mc:Fallback xmlns="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254E4BC7-E234-4237-8BF9-C5B0CFC3A5E6}"/>
                </a:ext>
              </a:extLst>
            </xdr:cNvPr>
            <xdr:cNvSpPr txBox="1"/>
          </xdr:nvSpPr>
          <xdr:spPr>
            <a:xfrm>
              <a:off x="5434691" y="8961664"/>
              <a:ext cx="301633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C" sz="1400" b="1"/>
                <a:t>INERCIA</a:t>
              </a:r>
              <a:r>
                <a:rPr lang="es-EC" sz="1400" b="1" i="0">
                  <a:latin typeface="Cambria Math" panose="02040503050406030204" pitchFamily="18" charset="0"/>
                </a:rPr>
                <a:t> 𝑪𝑶𝑳𝑼𝑴𝑵𝑨&gt;𝑰𝑵𝑬𝑹𝑪𝑰𝑨 𝑽𝑰𝑮𝑨</a:t>
              </a:r>
              <a:endParaRPr lang="es-EC" sz="1400" b="1"/>
            </a:p>
          </xdr:txBody>
        </xdr:sp>
      </mc:Fallback>
    </mc:AlternateContent>
    <xdr:clientData/>
  </xdr:oneCellAnchor>
  <xdr:twoCellAnchor>
    <xdr:from>
      <xdr:col>12</xdr:col>
      <xdr:colOff>381000</xdr:colOff>
      <xdr:row>13</xdr:row>
      <xdr:rowOff>0</xdr:rowOff>
    </xdr:from>
    <xdr:to>
      <xdr:col>12</xdr:col>
      <xdr:colOff>381000</xdr:colOff>
      <xdr:row>17</xdr:row>
      <xdr:rowOff>9525</xdr:rowOff>
    </xdr:to>
    <xdr:sp macro="" textlink="">
      <xdr:nvSpPr>
        <xdr:cNvPr id="24" name="Line 20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ShapeType="1"/>
        </xdr:cNvSpPr>
      </xdr:nvSpPr>
      <xdr:spPr bwMode="auto">
        <a:xfrm>
          <a:off x="9534525" y="27917775"/>
          <a:ext cx="0" cy="781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400050</xdr:colOff>
      <xdr:row>9</xdr:row>
      <xdr:rowOff>9525</xdr:rowOff>
    </xdr:from>
    <xdr:to>
      <xdr:col>12</xdr:col>
      <xdr:colOff>400050</xdr:colOff>
      <xdr:row>12</xdr:row>
      <xdr:rowOff>0</xdr:rowOff>
    </xdr:to>
    <xdr:sp macro="" textlink="">
      <xdr:nvSpPr>
        <xdr:cNvPr id="25" name="Line 21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spLocks noChangeShapeType="1"/>
        </xdr:cNvSpPr>
      </xdr:nvSpPr>
      <xdr:spPr bwMode="auto">
        <a:xfrm flipV="1">
          <a:off x="9553575" y="27165300"/>
          <a:ext cx="0" cy="5619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381000</xdr:colOff>
      <xdr:row>14</xdr:row>
      <xdr:rowOff>0</xdr:rowOff>
    </xdr:from>
    <xdr:to>
      <xdr:col>8</xdr:col>
      <xdr:colOff>381000</xdr:colOff>
      <xdr:row>17</xdr:row>
      <xdr:rowOff>66675</xdr:rowOff>
    </xdr:to>
    <xdr:sp macro="" textlink="">
      <xdr:nvSpPr>
        <xdr:cNvPr id="26" name="Line 22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 noChangeShapeType="1"/>
        </xdr:cNvSpPr>
      </xdr:nvSpPr>
      <xdr:spPr bwMode="auto">
        <a:xfrm flipV="1">
          <a:off x="6477000" y="28108275"/>
          <a:ext cx="0" cy="6477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85725</xdr:colOff>
      <xdr:row>17</xdr:row>
      <xdr:rowOff>0</xdr:rowOff>
    </xdr:from>
    <xdr:to>
      <xdr:col>8</xdr:col>
      <xdr:colOff>752475</xdr:colOff>
      <xdr:row>17</xdr:row>
      <xdr:rowOff>0</xdr:rowOff>
    </xdr:to>
    <xdr:sp macro="" textlink="">
      <xdr:nvSpPr>
        <xdr:cNvPr id="27" name="Line 23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ShapeType="1"/>
        </xdr:cNvSpPr>
      </xdr:nvSpPr>
      <xdr:spPr bwMode="auto">
        <a:xfrm>
          <a:off x="6181725" y="28689300"/>
          <a:ext cx="666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424542</xdr:colOff>
      <xdr:row>8</xdr:row>
      <xdr:rowOff>2722</xdr:rowOff>
    </xdr:from>
    <xdr:to>
      <xdr:col>13</xdr:col>
      <xdr:colOff>624567</xdr:colOff>
      <xdr:row>8</xdr:row>
      <xdr:rowOff>2722</xdr:rowOff>
    </xdr:to>
    <xdr:sp macro="" textlink="">
      <xdr:nvSpPr>
        <xdr:cNvPr id="28" name="Line 24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spLocks noChangeShapeType="1"/>
        </xdr:cNvSpPr>
      </xdr:nvSpPr>
      <xdr:spPr bwMode="auto">
        <a:xfrm>
          <a:off x="6520542" y="26958472"/>
          <a:ext cx="4019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lg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428625</xdr:colOff>
      <xdr:row>13</xdr:row>
      <xdr:rowOff>0</xdr:rowOff>
    </xdr:from>
    <xdr:to>
      <xdr:col>13</xdr:col>
      <xdr:colOff>428625</xdr:colOff>
      <xdr:row>17</xdr:row>
      <xdr:rowOff>0</xdr:rowOff>
    </xdr:to>
    <xdr:sp macro="" textlink="">
      <xdr:nvSpPr>
        <xdr:cNvPr id="29" name="Line 25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 noChangeShapeType="1"/>
        </xdr:cNvSpPr>
      </xdr:nvSpPr>
      <xdr:spPr bwMode="auto">
        <a:xfrm>
          <a:off x="10344150" y="27917775"/>
          <a:ext cx="0" cy="771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438150</xdr:colOff>
      <xdr:row>7</xdr:row>
      <xdr:rowOff>152400</xdr:rowOff>
    </xdr:from>
    <xdr:to>
      <xdr:col>13</xdr:col>
      <xdr:colOff>438150</xdr:colOff>
      <xdr:row>11</xdr:row>
      <xdr:rowOff>152400</xdr:rowOff>
    </xdr:to>
    <xdr:sp macro="" textlink="">
      <xdr:nvSpPr>
        <xdr:cNvPr id="30" name="Line 26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spLocks noChangeShapeType="1"/>
        </xdr:cNvSpPr>
      </xdr:nvSpPr>
      <xdr:spPr bwMode="auto">
        <a:xfrm flipV="1">
          <a:off x="10353675" y="26917650"/>
          <a:ext cx="0" cy="771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229622</xdr:colOff>
      <xdr:row>13</xdr:row>
      <xdr:rowOff>66335</xdr:rowOff>
    </xdr:from>
    <xdr:to>
      <xdr:col>11</xdr:col>
      <xdr:colOff>239147</xdr:colOff>
      <xdr:row>17</xdr:row>
      <xdr:rowOff>55620</xdr:rowOff>
    </xdr:to>
    <xdr:sp macro="" textlink="">
      <xdr:nvSpPr>
        <xdr:cNvPr id="31" name="Line 27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 noChangeShapeType="1"/>
        </xdr:cNvSpPr>
      </xdr:nvSpPr>
      <xdr:spPr bwMode="auto">
        <a:xfrm>
          <a:off x="8621147" y="27984110"/>
          <a:ext cx="9525" cy="760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232172</xdr:colOff>
      <xdr:row>11</xdr:row>
      <xdr:rowOff>159544</xdr:rowOff>
    </xdr:from>
    <xdr:to>
      <xdr:col>11</xdr:col>
      <xdr:colOff>232172</xdr:colOff>
      <xdr:row>14</xdr:row>
      <xdr:rowOff>101204</xdr:rowOff>
    </xdr:to>
    <xdr:sp macro="" textlink="">
      <xdr:nvSpPr>
        <xdr:cNvPr id="32" name="Line 28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>
          <a:spLocks noChangeShapeType="1"/>
        </xdr:cNvSpPr>
      </xdr:nvSpPr>
      <xdr:spPr bwMode="auto">
        <a:xfrm flipV="1">
          <a:off x="8623697" y="27696319"/>
          <a:ext cx="0" cy="5131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721179</xdr:colOff>
      <xdr:row>6</xdr:row>
      <xdr:rowOff>81643</xdr:rowOff>
    </xdr:from>
    <xdr:to>
      <xdr:col>12</xdr:col>
      <xdr:colOff>0</xdr:colOff>
      <xdr:row>6</xdr:row>
      <xdr:rowOff>81643</xdr:rowOff>
    </xdr:to>
    <xdr:cxnSp macro="">
      <xdr:nvCxnSpPr>
        <xdr:cNvPr id="33" name="Conector recto de flecha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CxnSpPr/>
      </xdr:nvCxnSpPr>
      <xdr:spPr>
        <a:xfrm>
          <a:off x="6817179" y="26646868"/>
          <a:ext cx="2336346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39</xdr:row>
          <xdr:rowOff>19050</xdr:rowOff>
        </xdr:from>
        <xdr:to>
          <xdr:col>9</xdr:col>
          <xdr:colOff>0</xdr:colOff>
          <xdr:row>42</xdr:row>
          <xdr:rowOff>-1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9</xdr:col>
      <xdr:colOff>828675</xdr:colOff>
      <xdr:row>35</xdr:row>
      <xdr:rowOff>161925</xdr:rowOff>
    </xdr:from>
    <xdr:to>
      <xdr:col>13</xdr:col>
      <xdr:colOff>0</xdr:colOff>
      <xdr:row>39</xdr:row>
      <xdr:rowOff>19050</xdr:rowOff>
    </xdr:to>
    <xdr:sp macro="" textlink="">
      <xdr:nvSpPr>
        <xdr:cNvPr id="34" name="Rectangle 30" descr="Diagonal hacia arriba ancha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noChangeArrowheads="1"/>
        </xdr:cNvSpPr>
      </xdr:nvSpPr>
      <xdr:spPr bwMode="auto">
        <a:xfrm>
          <a:off x="7562850" y="32289750"/>
          <a:ext cx="2352675" cy="638175"/>
        </a:xfrm>
        <a:prstGeom prst="rect">
          <a:avLst/>
        </a:prstGeom>
        <a:pattFill prst="wdUpDiag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828675</xdr:colOff>
      <xdr:row>37</xdr:row>
      <xdr:rowOff>161925</xdr:rowOff>
    </xdr:from>
    <xdr:to>
      <xdr:col>11</xdr:col>
      <xdr:colOff>0</xdr:colOff>
      <xdr:row>39</xdr:row>
      <xdr:rowOff>19050</xdr:rowOff>
    </xdr:to>
    <xdr:sp macro="" textlink="">
      <xdr:nvSpPr>
        <xdr:cNvPr id="35" name="Rectangle 31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noChangeArrowheads="1"/>
        </xdr:cNvSpPr>
      </xdr:nvSpPr>
      <xdr:spPr bwMode="auto">
        <a:xfrm>
          <a:off x="7562850" y="32680275"/>
          <a:ext cx="82867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695325</xdr:colOff>
      <xdr:row>37</xdr:row>
      <xdr:rowOff>161925</xdr:rowOff>
    </xdr:from>
    <xdr:to>
      <xdr:col>13</xdr:col>
      <xdr:colOff>9525</xdr:colOff>
      <xdr:row>39</xdr:row>
      <xdr:rowOff>19050</xdr:rowOff>
    </xdr:to>
    <xdr:sp macro="" textlink="">
      <xdr:nvSpPr>
        <xdr:cNvPr id="36" name="Rectangle 32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>
          <a:spLocks noChangeArrowheads="1"/>
        </xdr:cNvSpPr>
      </xdr:nvSpPr>
      <xdr:spPr bwMode="auto">
        <a:xfrm>
          <a:off x="9086850" y="32680275"/>
          <a:ext cx="83820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9525</xdr:colOff>
      <xdr:row>39</xdr:row>
      <xdr:rowOff>19050</xdr:rowOff>
    </xdr:from>
    <xdr:to>
      <xdr:col>11</xdr:col>
      <xdr:colOff>695325</xdr:colOff>
      <xdr:row>47</xdr:row>
      <xdr:rowOff>9525</xdr:rowOff>
    </xdr:to>
    <xdr:sp macro="" textlink="">
      <xdr:nvSpPr>
        <xdr:cNvPr id="37" name="Rectangle 33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>
          <a:spLocks noChangeArrowheads="1"/>
        </xdr:cNvSpPr>
      </xdr:nvSpPr>
      <xdr:spPr bwMode="auto">
        <a:xfrm>
          <a:off x="8401050" y="32927925"/>
          <a:ext cx="685800" cy="1514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218281</xdr:colOff>
      <xdr:row>40</xdr:row>
      <xdr:rowOff>168673</xdr:rowOff>
    </xdr:from>
    <xdr:to>
      <xdr:col>10</xdr:col>
      <xdr:colOff>219075</xdr:colOff>
      <xdr:row>47</xdr:row>
      <xdr:rowOff>1</xdr:rowOff>
    </xdr:to>
    <xdr:sp macro="" textlink="">
      <xdr:nvSpPr>
        <xdr:cNvPr id="38" name="Line 34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>
          <a:spLocks noChangeShapeType="1"/>
        </xdr:cNvSpPr>
      </xdr:nvSpPr>
      <xdr:spPr bwMode="auto">
        <a:xfrm>
          <a:off x="7798594" y="7768829"/>
          <a:ext cx="794" cy="1150938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838200</xdr:colOff>
      <xdr:row>47</xdr:row>
      <xdr:rowOff>9525</xdr:rowOff>
    </xdr:from>
    <xdr:to>
      <xdr:col>10</xdr:col>
      <xdr:colOff>809625</xdr:colOff>
      <xdr:row>47</xdr:row>
      <xdr:rowOff>9525</xdr:rowOff>
    </xdr:to>
    <xdr:sp macro="" textlink="">
      <xdr:nvSpPr>
        <xdr:cNvPr id="39" name="Line 35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>
          <a:spLocks noChangeShapeType="1"/>
        </xdr:cNvSpPr>
      </xdr:nvSpPr>
      <xdr:spPr bwMode="auto">
        <a:xfrm>
          <a:off x="7562850" y="34442400"/>
          <a:ext cx="8096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218281</xdr:colOff>
      <xdr:row>40</xdr:row>
      <xdr:rowOff>109141</xdr:rowOff>
    </xdr:from>
    <xdr:to>
      <xdr:col>10</xdr:col>
      <xdr:colOff>228203</xdr:colOff>
      <xdr:row>44</xdr:row>
      <xdr:rowOff>79374</xdr:rowOff>
    </xdr:to>
    <xdr:sp macro="" textlink="">
      <xdr:nvSpPr>
        <xdr:cNvPr id="40" name="Line 36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>
          <a:spLocks noChangeShapeType="1"/>
        </xdr:cNvSpPr>
      </xdr:nvSpPr>
      <xdr:spPr bwMode="auto">
        <a:xfrm flipV="1">
          <a:off x="7798594" y="7709297"/>
          <a:ext cx="9922" cy="724296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5</xdr:col>
      <xdr:colOff>421822</xdr:colOff>
      <xdr:row>52</xdr:row>
      <xdr:rowOff>108857</xdr:rowOff>
    </xdr:from>
    <xdr:ext cx="1010790" cy="5869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" name="CuadroTexto 40">
              <a:extLst>
                <a:ext uri="{FF2B5EF4-FFF2-40B4-BE49-F238E27FC236}">
                  <a16:creationId xmlns:a16="http://schemas.microsoft.com/office/drawing/2014/main" id="{00000000-0008-0000-0000-000029000000}"/>
                </a:ext>
              </a:extLst>
            </xdr:cNvPr>
            <xdr:cNvSpPr txBox="1"/>
          </xdr:nvSpPr>
          <xdr:spPr>
            <a:xfrm>
              <a:off x="4231822" y="35494232"/>
              <a:ext cx="1010790" cy="586956"/>
            </a:xfrm>
            <a:prstGeom prst="rect">
              <a:avLst/>
            </a:prstGeom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C" sz="2400" b="1"/>
                <a:t>It</a:t>
              </a:r>
              <a14:m>
                <m:oMath xmlns:m="http://schemas.openxmlformats.org/officeDocument/2006/math">
                  <m:r>
                    <a:rPr lang="es-EC" sz="2400" b="1" i="1">
                      <a:latin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es-EC" sz="2400" b="1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C" sz="2400" b="1" i="1">
                          <a:latin typeface="Cambria Math" panose="02040503050406030204" pitchFamily="18" charset="0"/>
                        </a:rPr>
                        <m:t>𝒃</m:t>
                      </m:r>
                      <m:r>
                        <a:rPr lang="es-EC" sz="2400" b="1" i="1">
                          <a:latin typeface="Cambria Math" panose="02040503050406030204" pitchFamily="18" charset="0"/>
                        </a:rPr>
                        <m:t>∗</m:t>
                      </m:r>
                      <m:sSup>
                        <m:sSupPr>
                          <m:ctrlPr>
                            <a:rPr lang="es-EC" sz="2400" b="1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es-EC" sz="2400" b="1" i="1">
                              <a:latin typeface="Cambria Math" panose="02040503050406030204" pitchFamily="18" charset="0"/>
                            </a:rPr>
                            <m:t>𝒉</m:t>
                          </m:r>
                        </m:e>
                        <m:sup>
                          <m:r>
                            <a:rPr lang="es-EC" sz="2400" b="1" i="1">
                              <a:latin typeface="Cambria Math" panose="02040503050406030204" pitchFamily="18" charset="0"/>
                            </a:rPr>
                            <m:t>𝟑</m:t>
                          </m:r>
                        </m:sup>
                      </m:sSup>
                    </m:num>
                    <m:den>
                      <m:r>
                        <a:rPr lang="es-EC" sz="2400" b="1" i="1">
                          <a:latin typeface="Cambria Math" panose="02040503050406030204" pitchFamily="18" charset="0"/>
                        </a:rPr>
                        <m:t>𝟏𝟐</m:t>
                      </m:r>
                    </m:den>
                  </m:f>
                </m:oMath>
              </a14:m>
              <a:endParaRPr lang="es-EC" sz="2400" b="1"/>
            </a:p>
          </xdr:txBody>
        </xdr:sp>
      </mc:Choice>
      <mc:Fallback xmlns="">
        <xdr:sp macro="" textlink="">
          <xdr:nvSpPr>
            <xdr:cNvPr id="41" name="CuadroTexto 40">
              <a:extLst>
                <a:ext uri="{FF2B5EF4-FFF2-40B4-BE49-F238E27FC236}">
                  <a16:creationId xmlns:a16="http://schemas.microsoft.com/office/drawing/2014/main" id="{6820CEDB-B613-4F9C-89E4-E40EDB453195}"/>
                </a:ext>
              </a:extLst>
            </xdr:cNvPr>
            <xdr:cNvSpPr txBox="1"/>
          </xdr:nvSpPr>
          <xdr:spPr>
            <a:xfrm>
              <a:off x="4231822" y="35494232"/>
              <a:ext cx="1010790" cy="586956"/>
            </a:xfrm>
            <a:prstGeom prst="rect">
              <a:avLst/>
            </a:prstGeom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C" sz="2400" b="1"/>
                <a:t>It</a:t>
              </a:r>
              <a:r>
                <a:rPr lang="es-EC" sz="2400" b="1" i="0">
                  <a:latin typeface="Cambria Math" panose="02040503050406030204" pitchFamily="18" charset="0"/>
                </a:rPr>
                <a:t>=(𝒃∗𝒉^𝟑)/𝟏𝟐</a:t>
              </a:r>
              <a:endParaRPr lang="es-EC" sz="2400" b="1"/>
            </a:p>
          </xdr:txBody>
        </xdr:sp>
      </mc:Fallback>
    </mc:AlternateContent>
    <xdr:clientData/>
  </xdr:oneCellAnchor>
  <xdr:oneCellAnchor>
    <xdr:from>
      <xdr:col>5</xdr:col>
      <xdr:colOff>356508</xdr:colOff>
      <xdr:row>56</xdr:row>
      <xdr:rowOff>2721</xdr:rowOff>
    </xdr:from>
    <xdr:ext cx="1172437" cy="75155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" name="CuadroTexto 41">
              <a:extLst>
                <a:ext uri="{FF2B5EF4-FFF2-40B4-BE49-F238E27FC236}">
                  <a16:creationId xmlns:a16="http://schemas.microsoft.com/office/drawing/2014/main" id="{00000000-0008-0000-0000-00002A000000}"/>
                </a:ext>
              </a:extLst>
            </xdr:cNvPr>
            <xdr:cNvSpPr txBox="1"/>
          </xdr:nvSpPr>
          <xdr:spPr>
            <a:xfrm>
              <a:off x="4166508" y="36150096"/>
              <a:ext cx="1172437" cy="751552"/>
            </a:xfrm>
            <a:prstGeom prst="rect">
              <a:avLst/>
            </a:prstGeom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C" sz="2400" b="1" i="0">
                  <a:latin typeface="+mn-lt"/>
                </a:rPr>
                <a:t>h</a:t>
              </a:r>
              <a14:m>
                <m:oMath xmlns:m="http://schemas.openxmlformats.org/officeDocument/2006/math">
                  <m:r>
                    <a:rPr lang="es-EC" sz="2400" b="1" i="1">
                      <a:latin typeface="Cambria Math" panose="02040503050406030204" pitchFamily="18" charset="0"/>
                    </a:rPr>
                    <m:t>=</m:t>
                  </m:r>
                  <m:rad>
                    <m:radPr>
                      <m:degHide m:val="on"/>
                      <m:ctrlPr>
                        <a:rPr lang="es-EC" sz="2400" b="1" i="1">
                          <a:latin typeface="Cambria Math" panose="02040503050406030204" pitchFamily="18" charset="0"/>
                        </a:rPr>
                      </m:ctrlPr>
                    </m:radPr>
                    <m:deg/>
                    <m:e>
                      <m:f>
                        <m:fPr>
                          <m:ctrlPr>
                            <a:rPr lang="es-EC" sz="2400" b="1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s-EC" sz="2400" b="1" i="1">
                              <a:latin typeface="Cambria Math" panose="02040503050406030204" pitchFamily="18" charset="0"/>
                            </a:rPr>
                            <m:t>𝟏𝟐</m:t>
                          </m:r>
                          <m:r>
                            <a:rPr lang="es-EC" sz="2400" b="1" i="1">
                              <a:latin typeface="Cambria Math" panose="02040503050406030204" pitchFamily="18" charset="0"/>
                            </a:rPr>
                            <m:t>𝑰𝒕</m:t>
                          </m:r>
                        </m:num>
                        <m:den>
                          <m:r>
                            <a:rPr lang="es-EC" sz="2400" b="1" i="1">
                              <a:latin typeface="Cambria Math" panose="02040503050406030204" pitchFamily="18" charset="0"/>
                            </a:rPr>
                            <m:t>𝒃</m:t>
                          </m:r>
                        </m:den>
                      </m:f>
                    </m:e>
                  </m:rad>
                </m:oMath>
              </a14:m>
              <a:endParaRPr lang="es-EC" sz="2400" b="1"/>
            </a:p>
          </xdr:txBody>
        </xdr:sp>
      </mc:Choice>
      <mc:Fallback xmlns="">
        <xdr:sp macro="" textlink="">
          <xdr:nvSpPr>
            <xdr:cNvPr id="42" name="CuadroTexto 41">
              <a:extLst>
                <a:ext uri="{FF2B5EF4-FFF2-40B4-BE49-F238E27FC236}">
                  <a16:creationId xmlns:a16="http://schemas.microsoft.com/office/drawing/2014/main" id="{A0D9942C-7ACC-45DE-B9EE-EB1F204B0BAE}"/>
                </a:ext>
              </a:extLst>
            </xdr:cNvPr>
            <xdr:cNvSpPr txBox="1"/>
          </xdr:nvSpPr>
          <xdr:spPr>
            <a:xfrm>
              <a:off x="4166508" y="36150096"/>
              <a:ext cx="1172437" cy="751552"/>
            </a:xfrm>
            <a:prstGeom prst="rect">
              <a:avLst/>
            </a:prstGeom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C" sz="2400" b="1" i="0">
                  <a:latin typeface="+mn-lt"/>
                </a:rPr>
                <a:t>h</a:t>
              </a:r>
              <a:r>
                <a:rPr lang="es-EC" sz="2400" b="1" i="0">
                  <a:latin typeface="Cambria Math" panose="02040503050406030204" pitchFamily="18" charset="0"/>
                </a:rPr>
                <a:t>=√(𝟏𝟐𝑰𝒕/𝒃)</a:t>
              </a:r>
              <a:endParaRPr lang="es-EC" sz="2400" b="1"/>
            </a:p>
          </xdr:txBody>
        </xdr:sp>
      </mc:Fallback>
    </mc:AlternateContent>
    <xdr:clientData/>
  </xdr:oneCellAnchor>
  <xdr:twoCellAnchor>
    <xdr:from>
      <xdr:col>5</xdr:col>
      <xdr:colOff>561731</xdr:colOff>
      <xdr:row>67</xdr:row>
      <xdr:rowOff>170961</xdr:rowOff>
    </xdr:from>
    <xdr:to>
      <xdr:col>5</xdr:col>
      <xdr:colOff>561732</xdr:colOff>
      <xdr:row>70</xdr:row>
      <xdr:rowOff>48846</xdr:rowOff>
    </xdr:to>
    <xdr:cxnSp macro="">
      <xdr:nvCxnSpPr>
        <xdr:cNvPr id="43" name="Conector recto de flecha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CxnSpPr/>
      </xdr:nvCxnSpPr>
      <xdr:spPr>
        <a:xfrm flipH="1">
          <a:off x="4371731" y="38413836"/>
          <a:ext cx="1" cy="56368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732693</xdr:colOff>
      <xdr:row>79</xdr:row>
      <xdr:rowOff>0</xdr:rowOff>
    </xdr:from>
    <xdr:to>
      <xdr:col>8</xdr:col>
      <xdr:colOff>36635</xdr:colOff>
      <xdr:row>79</xdr:row>
      <xdr:rowOff>0</xdr:rowOff>
    </xdr:to>
    <xdr:cxnSp macro="">
      <xdr:nvCxnSpPr>
        <xdr:cNvPr id="44" name="Conector recto de flecha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CxnSpPr/>
      </xdr:nvCxnSpPr>
      <xdr:spPr>
        <a:xfrm>
          <a:off x="5304693" y="41033700"/>
          <a:ext cx="827942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12212</xdr:colOff>
      <xdr:row>79</xdr:row>
      <xdr:rowOff>0</xdr:rowOff>
    </xdr:from>
    <xdr:to>
      <xdr:col>9</xdr:col>
      <xdr:colOff>24424</xdr:colOff>
      <xdr:row>79</xdr:row>
      <xdr:rowOff>0</xdr:rowOff>
    </xdr:to>
    <xdr:cxnSp macro="">
      <xdr:nvCxnSpPr>
        <xdr:cNvPr id="45" name="Conector recto de flecha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CxnSpPr/>
      </xdr:nvCxnSpPr>
      <xdr:spPr>
        <a:xfrm>
          <a:off x="6108212" y="41033700"/>
          <a:ext cx="774212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5862</xdr:colOff>
      <xdr:row>79</xdr:row>
      <xdr:rowOff>5862</xdr:rowOff>
    </xdr:from>
    <xdr:to>
      <xdr:col>7</xdr:col>
      <xdr:colOff>18073</xdr:colOff>
      <xdr:row>79</xdr:row>
      <xdr:rowOff>5862</xdr:rowOff>
    </xdr:to>
    <xdr:cxnSp macro="">
      <xdr:nvCxnSpPr>
        <xdr:cNvPr id="46" name="Conector recto de flecha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CxnSpPr/>
      </xdr:nvCxnSpPr>
      <xdr:spPr>
        <a:xfrm>
          <a:off x="4577862" y="41039562"/>
          <a:ext cx="774211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567594</xdr:colOff>
      <xdr:row>69</xdr:row>
      <xdr:rowOff>225669</xdr:rowOff>
    </xdr:from>
    <xdr:to>
      <xdr:col>5</xdr:col>
      <xdr:colOff>573942</xdr:colOff>
      <xdr:row>78</xdr:row>
      <xdr:rowOff>24423</xdr:rowOff>
    </xdr:to>
    <xdr:cxnSp macro="">
      <xdr:nvCxnSpPr>
        <xdr:cNvPr id="47" name="Conector recto de flecha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CxnSpPr/>
      </xdr:nvCxnSpPr>
      <xdr:spPr>
        <a:xfrm>
          <a:off x="4377594" y="38906694"/>
          <a:ext cx="6348" cy="1960929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525096</xdr:colOff>
      <xdr:row>68</xdr:row>
      <xdr:rowOff>24424</xdr:rowOff>
    </xdr:from>
    <xdr:to>
      <xdr:col>16</xdr:col>
      <xdr:colOff>0</xdr:colOff>
      <xdr:row>74</xdr:row>
      <xdr:rowOff>109905</xdr:rowOff>
    </xdr:to>
    <xdr:sp macro="" textlink="">
      <xdr:nvSpPr>
        <xdr:cNvPr id="48" name="Rectángulo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8916621" y="38467324"/>
          <a:ext cx="3465879" cy="1523756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11</xdr:col>
      <xdr:colOff>512885</xdr:colOff>
      <xdr:row>79</xdr:row>
      <xdr:rowOff>0</xdr:rowOff>
    </xdr:from>
    <xdr:to>
      <xdr:col>16</xdr:col>
      <xdr:colOff>48846</xdr:colOff>
      <xdr:row>79</xdr:row>
      <xdr:rowOff>12212</xdr:rowOff>
    </xdr:to>
    <xdr:cxnSp macro="">
      <xdr:nvCxnSpPr>
        <xdr:cNvPr id="49" name="Conector recto de flecha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CxnSpPr/>
      </xdr:nvCxnSpPr>
      <xdr:spPr>
        <a:xfrm flipV="1">
          <a:off x="8904410" y="41033700"/>
          <a:ext cx="3526936" cy="12212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68</xdr:row>
      <xdr:rowOff>0</xdr:rowOff>
    </xdr:from>
    <xdr:to>
      <xdr:col>17</xdr:col>
      <xdr:colOff>0</xdr:colOff>
      <xdr:row>74</xdr:row>
      <xdr:rowOff>122115</xdr:rowOff>
    </xdr:to>
    <xdr:cxnSp macro="">
      <xdr:nvCxnSpPr>
        <xdr:cNvPr id="50" name="Conector recto de flecha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CxnSpPr/>
      </xdr:nvCxnSpPr>
      <xdr:spPr>
        <a:xfrm>
          <a:off x="13144500" y="38442900"/>
          <a:ext cx="0" cy="156039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5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10F67-1020-4409-9E9F-A4779ED97F54}">
  <dimension ref="A1:X35"/>
  <sheetViews>
    <sheetView showGridLines="0" view="pageBreakPreview" topLeftCell="A4" zoomScale="95" zoomScaleNormal="200" zoomScaleSheetLayoutView="95" workbookViewId="0">
      <selection activeCell="E12" sqref="E12"/>
    </sheetView>
  </sheetViews>
  <sheetFormatPr baseColWidth="10" defaultColWidth="9.140625" defaultRowHeight="15" x14ac:dyDescent="0.25"/>
  <cols>
    <col min="1" max="1" width="8" style="1" customWidth="1"/>
    <col min="2" max="3" width="7" style="1" customWidth="1"/>
    <col min="4" max="4" width="1.28515625" style="1" customWidth="1"/>
    <col min="5" max="6" width="7.42578125" style="1" customWidth="1"/>
    <col min="7" max="7" width="7.85546875" style="1" customWidth="1"/>
    <col min="8" max="8" width="6.85546875" style="1" customWidth="1"/>
    <col min="9" max="9" width="8.42578125" style="1" customWidth="1"/>
    <col min="10" max="10" width="7.140625" style="1" customWidth="1"/>
    <col min="11" max="11" width="7.7109375" style="1" customWidth="1"/>
    <col min="12" max="12" width="1.85546875" style="1" customWidth="1"/>
    <col min="13" max="13" width="4.28515625" style="1" customWidth="1"/>
    <col min="14" max="14" width="3.140625" style="1" bestFit="1" customWidth="1"/>
    <col min="15" max="15" width="5.28515625" style="1" customWidth="1"/>
    <col min="16" max="16" width="6.42578125" style="1" customWidth="1"/>
    <col min="17" max="17" width="5.85546875" style="1" customWidth="1"/>
    <col min="18" max="18" width="6.140625" style="1" customWidth="1"/>
    <col min="19" max="19" width="7.140625" style="1" customWidth="1"/>
    <col min="20" max="20" width="6.42578125" style="1" customWidth="1"/>
    <col min="21" max="16384" width="9.140625" style="1"/>
  </cols>
  <sheetData>
    <row r="1" spans="1:24" x14ac:dyDescent="0.25">
      <c r="A1" s="75" t="s">
        <v>22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2" spans="1:24" x14ac:dyDescent="0.25">
      <c r="A2" s="75" t="s">
        <v>23</v>
      </c>
      <c r="B2" s="75"/>
      <c r="C2" s="75"/>
      <c r="D2" s="75"/>
      <c r="E2" s="75"/>
      <c r="F2" s="75"/>
      <c r="G2" s="75"/>
      <c r="H2" s="75"/>
      <c r="I2" s="75"/>
      <c r="J2" s="75"/>
      <c r="K2" s="75"/>
      <c r="P2" t="s">
        <v>49</v>
      </c>
    </row>
    <row r="3" spans="1:24" x14ac:dyDescent="0.25">
      <c r="A3" s="76" t="s">
        <v>0</v>
      </c>
      <c r="B3" s="76"/>
      <c r="C3" s="76"/>
      <c r="M3"/>
      <c r="N3"/>
      <c r="O3"/>
      <c r="Q3"/>
      <c r="R3"/>
      <c r="S3"/>
      <c r="T3"/>
      <c r="U3"/>
      <c r="V3"/>
      <c r="W3"/>
      <c r="X3"/>
    </row>
    <row r="4" spans="1:24" ht="18.75" x14ac:dyDescent="0.25">
      <c r="A4" s="2" t="s">
        <v>1</v>
      </c>
      <c r="B4" s="3">
        <v>6</v>
      </c>
      <c r="C4" s="2" t="s">
        <v>2</v>
      </c>
      <c r="E4" s="2"/>
      <c r="F4" s="8" t="s">
        <v>12</v>
      </c>
      <c r="G4" s="8" t="s">
        <v>13</v>
      </c>
      <c r="H4" s="8" t="s">
        <v>14</v>
      </c>
      <c r="I4" s="8" t="s">
        <v>15</v>
      </c>
      <c r="J4" s="8" t="s">
        <v>16</v>
      </c>
      <c r="K4" s="8" t="s">
        <v>17</v>
      </c>
      <c r="L4" s="7"/>
      <c r="M4"/>
      <c r="N4"/>
      <c r="O4"/>
      <c r="P4"/>
      <c r="Q4"/>
      <c r="R4"/>
      <c r="S4" s="12">
        <v>100</v>
      </c>
      <c r="T4"/>
      <c r="U4"/>
      <c r="V4"/>
      <c r="W4"/>
      <c r="X4"/>
    </row>
    <row r="5" spans="1:24" x14ac:dyDescent="0.25">
      <c r="A5" s="2" t="s">
        <v>3</v>
      </c>
      <c r="B5" s="2">
        <f>+B4*0.03*S4</f>
        <v>18</v>
      </c>
      <c r="C5" s="2" t="s">
        <v>4</v>
      </c>
      <c r="E5" s="5">
        <v>1</v>
      </c>
      <c r="F5" s="5">
        <f>+B9*(B8-B11)</f>
        <v>200</v>
      </c>
      <c r="G5" s="2">
        <f>+(B8-B11)/2</f>
        <v>10</v>
      </c>
      <c r="H5" s="5">
        <f>+F5*G5</f>
        <v>2000</v>
      </c>
      <c r="I5" s="5">
        <f>+B9*(B8-B11)^3 /12</f>
        <v>6666.666666666667</v>
      </c>
      <c r="J5" s="2">
        <f>+(G5-$G$10)^2</f>
        <v>48.225308641975289</v>
      </c>
      <c r="K5" s="5">
        <f>+I5+F5*J5</f>
        <v>16311.728395061724</v>
      </c>
      <c r="M5"/>
      <c r="N5"/>
      <c r="O5"/>
      <c r="P5"/>
      <c r="Q5"/>
      <c r="R5"/>
      <c r="S5"/>
      <c r="T5"/>
      <c r="U5"/>
      <c r="V5"/>
      <c r="W5"/>
      <c r="X5"/>
    </row>
    <row r="6" spans="1:24" x14ac:dyDescent="0.25">
      <c r="A6" s="8" t="s">
        <v>5</v>
      </c>
      <c r="B6" s="9">
        <f>100*B5^3 /12</f>
        <v>48600</v>
      </c>
      <c r="C6" s="8" t="s">
        <v>6</v>
      </c>
      <c r="E6" s="5">
        <v>2</v>
      </c>
      <c r="F6" s="5">
        <f>+F5</f>
        <v>200</v>
      </c>
      <c r="G6" s="2">
        <f>+G5</f>
        <v>10</v>
      </c>
      <c r="H6" s="5">
        <f t="shared" ref="H6:H7" si="0">+F6*G6</f>
        <v>2000</v>
      </c>
      <c r="I6" s="5">
        <f>+I5</f>
        <v>6666.666666666667</v>
      </c>
      <c r="J6" s="2">
        <f t="shared" ref="J6:J7" si="1">+(G6-$G$10)^2</f>
        <v>48.225308641975289</v>
      </c>
      <c r="K6" s="5">
        <f t="shared" ref="K6:K7" si="2">+I6+F6*J6</f>
        <v>16311.728395061724</v>
      </c>
      <c r="M6"/>
      <c r="N6" s="11">
        <v>5</v>
      </c>
      <c r="O6"/>
      <c r="P6"/>
      <c r="Q6"/>
      <c r="R6"/>
      <c r="S6"/>
      <c r="T6"/>
      <c r="U6"/>
      <c r="V6"/>
      <c r="W6"/>
      <c r="X6"/>
    </row>
    <row r="7" spans="1:24" x14ac:dyDescent="0.25">
      <c r="A7" s="76" t="s">
        <v>7</v>
      </c>
      <c r="B7" s="76"/>
      <c r="C7" s="76"/>
      <c r="E7" s="5">
        <v>3</v>
      </c>
      <c r="F7" s="5">
        <f>100*B11</f>
        <v>500</v>
      </c>
      <c r="G7" s="2">
        <f>+B8-B11/2</f>
        <v>22.5</v>
      </c>
      <c r="H7" s="5">
        <f t="shared" si="0"/>
        <v>11250</v>
      </c>
      <c r="I7" s="5">
        <f>100*B11^3 /12</f>
        <v>1041.6666666666667</v>
      </c>
      <c r="J7" s="2">
        <f t="shared" si="1"/>
        <v>30.864197530864214</v>
      </c>
      <c r="K7" s="5">
        <f t="shared" si="2"/>
        <v>16473.765432098775</v>
      </c>
      <c r="M7"/>
      <c r="N7"/>
      <c r="O7"/>
      <c r="P7"/>
      <c r="Q7"/>
      <c r="R7"/>
      <c r="S7"/>
      <c r="T7"/>
      <c r="U7"/>
      <c r="V7"/>
      <c r="W7"/>
      <c r="X7"/>
    </row>
    <row r="8" spans="1:24" x14ac:dyDescent="0.25">
      <c r="A8" s="2" t="s">
        <v>8</v>
      </c>
      <c r="B8" s="6">
        <v>25</v>
      </c>
      <c r="C8" s="2" t="s">
        <v>4</v>
      </c>
      <c r="E8" s="2"/>
      <c r="F8" s="9">
        <f>SUM(F5:F7)</f>
        <v>900</v>
      </c>
      <c r="G8" s="2"/>
      <c r="H8" s="9">
        <f>SUM(H5:H7)</f>
        <v>15250</v>
      </c>
      <c r="I8" s="2"/>
      <c r="J8" s="2"/>
      <c r="K8" s="9">
        <f>SUM(K5:K7)</f>
        <v>49097.222222222219</v>
      </c>
      <c r="M8"/>
      <c r="N8"/>
      <c r="O8"/>
      <c r="P8"/>
      <c r="Q8"/>
      <c r="R8"/>
      <c r="S8"/>
      <c r="T8"/>
      <c r="U8"/>
      <c r="V8"/>
      <c r="W8" s="11">
        <v>100</v>
      </c>
      <c r="X8"/>
    </row>
    <row r="9" spans="1:24" x14ac:dyDescent="0.25">
      <c r="A9" s="2" t="s">
        <v>9</v>
      </c>
      <c r="B9" s="6">
        <v>10</v>
      </c>
      <c r="C9" s="2" t="s">
        <v>4</v>
      </c>
      <c r="M9" s="74">
        <f>+B8</f>
        <v>25</v>
      </c>
      <c r="N9" s="74">
        <f>+M9-N6</f>
        <v>20</v>
      </c>
      <c r="O9"/>
      <c r="P9"/>
      <c r="Q9"/>
      <c r="R9"/>
      <c r="S9"/>
      <c r="T9"/>
      <c r="U9"/>
      <c r="V9"/>
      <c r="W9"/>
    </row>
    <row r="10" spans="1:24" x14ac:dyDescent="0.25">
      <c r="A10" s="2" t="s">
        <v>10</v>
      </c>
      <c r="B10" s="6">
        <v>40</v>
      </c>
      <c r="C10" s="2" t="s">
        <v>4</v>
      </c>
      <c r="F10" s="8" t="s">
        <v>13</v>
      </c>
      <c r="G10" s="8">
        <f>+H8/F8</f>
        <v>16.944444444444443</v>
      </c>
      <c r="H10" s="8" t="s">
        <v>4</v>
      </c>
      <c r="M10" s="11"/>
      <c r="N10"/>
      <c r="O10"/>
      <c r="P10"/>
      <c r="Q10"/>
      <c r="R10"/>
      <c r="S10"/>
      <c r="T10"/>
      <c r="U10"/>
      <c r="V10"/>
      <c r="W10"/>
      <c r="X10"/>
    </row>
    <row r="11" spans="1:24" x14ac:dyDescent="0.25">
      <c r="A11" s="2" t="s">
        <v>11</v>
      </c>
      <c r="B11" s="6">
        <v>5</v>
      </c>
      <c r="C11" s="2" t="s">
        <v>4</v>
      </c>
      <c r="M11"/>
      <c r="N11"/>
      <c r="O11"/>
      <c r="P11"/>
      <c r="Q11"/>
      <c r="R11"/>
      <c r="S11"/>
      <c r="T11"/>
      <c r="U11"/>
      <c r="V11"/>
      <c r="W11"/>
      <c r="X11"/>
    </row>
    <row r="12" spans="1:24" x14ac:dyDescent="0.25">
      <c r="A12" s="2"/>
      <c r="B12" s="2"/>
      <c r="C12" s="2"/>
      <c r="F12" s="2" t="s">
        <v>18</v>
      </c>
      <c r="G12" s="2">
        <f>+(12*K8/100)^0.3333</f>
        <v>18.055951574659883</v>
      </c>
      <c r="H12" s="2" t="s">
        <v>4</v>
      </c>
      <c r="M12"/>
      <c r="N12"/>
      <c r="O12"/>
      <c r="P12"/>
      <c r="Q12"/>
      <c r="R12"/>
      <c r="S12"/>
      <c r="T12"/>
      <c r="U12"/>
      <c r="V12"/>
      <c r="W12"/>
      <c r="X12"/>
    </row>
    <row r="13" spans="1:24" x14ac:dyDescent="0.25">
      <c r="A13" s="2"/>
      <c r="B13" s="2"/>
      <c r="C13" s="2"/>
      <c r="F13" s="2" t="s">
        <v>1</v>
      </c>
      <c r="G13" s="4">
        <f>+G12/0.03/100</f>
        <v>6.0186505248866276</v>
      </c>
      <c r="H13" s="2" t="s">
        <v>2</v>
      </c>
      <c r="M13"/>
      <c r="N13"/>
      <c r="O13"/>
      <c r="P13"/>
      <c r="Q13"/>
      <c r="R13"/>
      <c r="S13"/>
      <c r="T13"/>
      <c r="U13"/>
      <c r="V13"/>
      <c r="W13"/>
      <c r="X13"/>
    </row>
    <row r="14" spans="1:24" x14ac:dyDescent="0.25">
      <c r="M14"/>
      <c r="N14"/>
      <c r="O14" s="11">
        <v>10</v>
      </c>
      <c r="P14"/>
      <c r="Q14" s="11">
        <v>40</v>
      </c>
      <c r="R14"/>
      <c r="S14" s="11">
        <v>10</v>
      </c>
      <c r="T14"/>
      <c r="U14">
        <v>40</v>
      </c>
      <c r="V14"/>
      <c r="W14"/>
      <c r="X14"/>
    </row>
    <row r="15" spans="1:24" x14ac:dyDescent="0.25">
      <c r="A15" s="10" t="s">
        <v>19</v>
      </c>
      <c r="M15"/>
      <c r="N15"/>
      <c r="O15"/>
      <c r="P15"/>
      <c r="Q15"/>
      <c r="R15"/>
      <c r="S15"/>
      <c r="T15"/>
      <c r="U15"/>
      <c r="V15"/>
      <c r="W15"/>
      <c r="X15"/>
    </row>
    <row r="16" spans="1:24" x14ac:dyDescent="0.25">
      <c r="M16"/>
      <c r="N16"/>
      <c r="O16"/>
      <c r="P16"/>
      <c r="Q16"/>
      <c r="R16"/>
      <c r="S16"/>
      <c r="T16"/>
      <c r="U16"/>
      <c r="V16"/>
      <c r="W16"/>
      <c r="X16"/>
    </row>
    <row r="17" spans="1:11" x14ac:dyDescent="0.25">
      <c r="A17" s="2" t="s">
        <v>8</v>
      </c>
      <c r="B17" s="6">
        <v>15</v>
      </c>
      <c r="C17" s="2" t="s">
        <v>4</v>
      </c>
      <c r="E17" s="2" t="s">
        <v>1</v>
      </c>
      <c r="F17" s="4">
        <v>3.6</v>
      </c>
      <c r="G17" s="2" t="s">
        <v>2</v>
      </c>
    </row>
    <row r="18" spans="1:11" x14ac:dyDescent="0.25">
      <c r="A18" s="2" t="s">
        <v>8</v>
      </c>
      <c r="B18" s="6">
        <v>20</v>
      </c>
      <c r="C18" s="2" t="s">
        <v>4</v>
      </c>
      <c r="E18" s="2" t="s">
        <v>1</v>
      </c>
      <c r="F18" s="4">
        <v>4.8</v>
      </c>
      <c r="G18" s="2" t="s">
        <v>2</v>
      </c>
    </row>
    <row r="19" spans="1:11" x14ac:dyDescent="0.25">
      <c r="A19" s="2" t="s">
        <v>8</v>
      </c>
      <c r="B19" s="6">
        <v>25</v>
      </c>
      <c r="C19" s="2" t="s">
        <v>4</v>
      </c>
      <c r="E19" s="2" t="s">
        <v>1</v>
      </c>
      <c r="F19" s="4">
        <v>6</v>
      </c>
      <c r="G19" s="2" t="s">
        <v>2</v>
      </c>
    </row>
    <row r="22" spans="1:11" ht="18.75" x14ac:dyDescent="0.3">
      <c r="B22" s="72" t="s">
        <v>20</v>
      </c>
      <c r="C22" s="73"/>
      <c r="D22" s="73"/>
      <c r="E22" s="73"/>
      <c r="F22" s="73"/>
    </row>
    <row r="23" spans="1:11" ht="18.75" x14ac:dyDescent="0.3">
      <c r="B23" s="72" t="s">
        <v>21</v>
      </c>
      <c r="C23" s="73"/>
      <c r="D23" s="73"/>
      <c r="E23" s="73"/>
      <c r="F23" s="73"/>
    </row>
    <row r="26" spans="1:11" x14ac:dyDescent="0.25">
      <c r="B26" s="71">
        <v>0.24</v>
      </c>
    </row>
    <row r="27" spans="1:11" x14ac:dyDescent="0.25">
      <c r="E27" s="66" t="s">
        <v>50</v>
      </c>
    </row>
    <row r="28" spans="1:11" x14ac:dyDescent="0.25">
      <c r="E28" s="66" t="s">
        <v>51</v>
      </c>
    </row>
    <row r="29" spans="1:11" x14ac:dyDescent="0.25">
      <c r="E29" s="66" t="s">
        <v>52</v>
      </c>
      <c r="K29" s="10" t="s">
        <v>54</v>
      </c>
    </row>
    <row r="30" spans="1:11" x14ac:dyDescent="0.25">
      <c r="E30" s="66" t="s">
        <v>53</v>
      </c>
      <c r="K30" s="10" t="s">
        <v>55</v>
      </c>
    </row>
    <row r="31" spans="1:11" x14ac:dyDescent="0.25">
      <c r="E31" s="66"/>
      <c r="K31" s="10"/>
    </row>
    <row r="32" spans="1:11" x14ac:dyDescent="0.25">
      <c r="E32" s="66"/>
      <c r="K32" s="10"/>
    </row>
    <row r="33" spans="5:11" x14ac:dyDescent="0.25">
      <c r="E33" s="66"/>
      <c r="K33" s="10"/>
    </row>
    <row r="34" spans="5:11" x14ac:dyDescent="0.25">
      <c r="E34" s="66"/>
    </row>
    <row r="35" spans="5:11" x14ac:dyDescent="0.25">
      <c r="E35" s="66"/>
    </row>
  </sheetData>
  <mergeCells count="4">
    <mergeCell ref="A1:K1"/>
    <mergeCell ref="A2:K2"/>
    <mergeCell ref="A3:C3"/>
    <mergeCell ref="A7:C7"/>
  </mergeCells>
  <pageMargins left="0.7" right="0.7" top="0.75" bottom="0.75" header="0.3" footer="0.3"/>
  <pageSetup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9111A-BC6C-4F45-A89D-B02883D27D23}">
  <dimension ref="F1:S79"/>
  <sheetViews>
    <sheetView tabSelected="1" topLeftCell="A72" zoomScale="96" zoomScaleNormal="96" workbookViewId="0">
      <selection activeCell="J76" sqref="J76"/>
    </sheetView>
  </sheetViews>
  <sheetFormatPr baseColWidth="10" defaultRowHeight="15" x14ac:dyDescent="0.25"/>
  <cols>
    <col min="10" max="10" width="10.5703125" customWidth="1"/>
    <col min="11" max="11" width="12.42578125" customWidth="1"/>
    <col min="12" max="12" width="11.42578125" customWidth="1"/>
    <col min="15" max="15" width="14.140625" customWidth="1"/>
  </cols>
  <sheetData>
    <row r="1" spans="6:16" x14ac:dyDescent="0.25"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</row>
    <row r="2" spans="6:16" x14ac:dyDescent="0.25"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</row>
    <row r="3" spans="6:16" x14ac:dyDescent="0.25"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</row>
    <row r="5" spans="6:16" x14ac:dyDescent="0.25">
      <c r="J5" s="81">
        <v>50</v>
      </c>
      <c r="K5" s="81"/>
      <c r="L5" s="81"/>
    </row>
    <row r="6" spans="6:16" x14ac:dyDescent="0.25">
      <c r="J6" s="81"/>
      <c r="K6" s="81"/>
      <c r="L6" s="81"/>
    </row>
    <row r="7" spans="6:16" ht="15.75" thickBot="1" x14ac:dyDescent="0.3">
      <c r="I7" s="15"/>
      <c r="J7" s="15"/>
      <c r="K7" s="15"/>
      <c r="L7" s="15"/>
      <c r="M7" s="15"/>
      <c r="N7" s="15"/>
      <c r="O7" s="15"/>
    </row>
    <row r="8" spans="6:16" ht="15" customHeight="1" x14ac:dyDescent="0.25">
      <c r="I8" s="15"/>
      <c r="J8" s="16"/>
      <c r="K8" s="17"/>
      <c r="L8" s="18"/>
      <c r="M8" s="70">
        <f>+'20 CM'!B11</f>
        <v>5</v>
      </c>
      <c r="N8" s="15"/>
      <c r="O8" s="15"/>
    </row>
    <row r="9" spans="6:16" ht="15.75" customHeight="1" thickBot="1" x14ac:dyDescent="0.3">
      <c r="I9" s="15"/>
      <c r="J9" s="19"/>
      <c r="K9" s="20">
        <v>2</v>
      </c>
      <c r="L9" s="21"/>
      <c r="M9" s="22"/>
      <c r="N9" s="15"/>
      <c r="O9" s="15"/>
    </row>
    <row r="10" spans="6:16" ht="15" customHeight="1" x14ac:dyDescent="0.25">
      <c r="I10" s="15"/>
      <c r="J10" s="15"/>
      <c r="K10" s="23"/>
      <c r="L10" s="15"/>
      <c r="M10" s="15"/>
      <c r="N10" s="15"/>
      <c r="O10" s="15"/>
    </row>
    <row r="11" spans="6:16" ht="15" customHeight="1" x14ac:dyDescent="0.25">
      <c r="I11" s="15"/>
      <c r="J11" s="15"/>
      <c r="K11" s="24"/>
      <c r="L11" s="15"/>
      <c r="M11" s="15"/>
      <c r="N11" s="15"/>
      <c r="O11" s="15"/>
    </row>
    <row r="12" spans="6:16" ht="15" customHeight="1" x14ac:dyDescent="0.25">
      <c r="I12" s="15"/>
      <c r="J12" s="15"/>
      <c r="K12" s="24"/>
      <c r="L12" s="15"/>
      <c r="M12" s="15"/>
      <c r="N12" s="15"/>
      <c r="O12" s="15"/>
    </row>
    <row r="13" spans="6:16" ht="15" customHeight="1" x14ac:dyDescent="0.25">
      <c r="I13" s="15"/>
      <c r="J13" s="15"/>
      <c r="K13" s="24"/>
      <c r="L13" s="25">
        <f>+M13/2</f>
        <v>10</v>
      </c>
      <c r="M13" s="69">
        <f>+'20 CM'!N9</f>
        <v>20</v>
      </c>
      <c r="N13" s="25">
        <f>M13+(M8/2)</f>
        <v>22.5</v>
      </c>
      <c r="O13" s="15"/>
    </row>
    <row r="14" spans="6:16" ht="15" customHeight="1" x14ac:dyDescent="0.25">
      <c r="I14" s="27" t="s">
        <v>24</v>
      </c>
      <c r="J14" s="15"/>
      <c r="K14" s="24">
        <v>1</v>
      </c>
      <c r="L14" s="15"/>
      <c r="M14" s="15"/>
      <c r="N14" s="15"/>
      <c r="O14" s="15"/>
    </row>
    <row r="15" spans="6:16" ht="15" customHeight="1" x14ac:dyDescent="0.25">
      <c r="I15" s="15"/>
      <c r="J15" s="15"/>
      <c r="K15" s="24"/>
      <c r="L15" s="15"/>
      <c r="M15" s="15"/>
      <c r="N15" s="15"/>
      <c r="O15" s="15"/>
    </row>
    <row r="16" spans="6:16" ht="15" customHeight="1" x14ac:dyDescent="0.25">
      <c r="I16" s="15"/>
      <c r="J16" s="15"/>
      <c r="K16" s="24"/>
      <c r="L16" s="15"/>
      <c r="M16" s="15"/>
      <c r="N16" s="15"/>
      <c r="O16" s="15"/>
    </row>
    <row r="17" spans="6:15" ht="15.75" customHeight="1" thickBot="1" x14ac:dyDescent="0.3">
      <c r="I17" s="15"/>
      <c r="J17" s="28" t="s">
        <v>13</v>
      </c>
      <c r="K17" s="29"/>
      <c r="L17" s="15"/>
      <c r="M17" s="15"/>
      <c r="N17" s="15"/>
      <c r="O17" s="15"/>
    </row>
    <row r="18" spans="6:15" x14ac:dyDescent="0.25">
      <c r="I18" s="15"/>
      <c r="J18" s="15"/>
      <c r="K18" s="30">
        <v>10</v>
      </c>
      <c r="L18" s="15"/>
      <c r="M18" s="15"/>
      <c r="N18" s="15"/>
      <c r="O18" s="15"/>
    </row>
    <row r="19" spans="6:15" x14ac:dyDescent="0.25">
      <c r="I19" s="15"/>
      <c r="M19" s="15"/>
      <c r="N19" s="15"/>
      <c r="O19" s="15"/>
    </row>
    <row r="20" spans="6:15" x14ac:dyDescent="0.25">
      <c r="I20" s="15"/>
      <c r="M20" s="15"/>
      <c r="N20" s="15"/>
      <c r="O20" s="15"/>
    </row>
    <row r="21" spans="6:15" ht="15.75" x14ac:dyDescent="0.25">
      <c r="F21" s="31" t="s">
        <v>25</v>
      </c>
      <c r="G21" s="31" t="s">
        <v>26</v>
      </c>
      <c r="H21" s="31" t="s">
        <v>27</v>
      </c>
      <c r="I21" s="31" t="s">
        <v>28</v>
      </c>
      <c r="J21" s="31" t="s">
        <v>29</v>
      </c>
      <c r="K21" s="31" t="s">
        <v>30</v>
      </c>
      <c r="L21" s="31" t="s">
        <v>31</v>
      </c>
      <c r="M21" s="31" t="s">
        <v>32</v>
      </c>
      <c r="N21" s="31" t="s">
        <v>33</v>
      </c>
      <c r="O21" s="31" t="s">
        <v>34</v>
      </c>
    </row>
    <row r="22" spans="6:15" x14ac:dyDescent="0.25">
      <c r="F22" s="32">
        <v>1</v>
      </c>
      <c r="G22" s="33">
        <f>+M13</f>
        <v>20</v>
      </c>
      <c r="H22" s="33">
        <f>+K18</f>
        <v>10</v>
      </c>
      <c r="I22" s="34">
        <f>+G22*H22</f>
        <v>200</v>
      </c>
      <c r="J22" s="33">
        <f>+M13/2</f>
        <v>10</v>
      </c>
      <c r="K22" s="35">
        <f>+J22*I22</f>
        <v>2000</v>
      </c>
      <c r="L22" s="36">
        <f>+H22*G22^3/12</f>
        <v>6666.666666666667</v>
      </c>
      <c r="M22" s="36">
        <f>+I44-J22</f>
        <v>6.9444444444444429</v>
      </c>
      <c r="N22" s="36">
        <f>+I22*(M22^2)</f>
        <v>9645.0617283950578</v>
      </c>
      <c r="O22" s="36">
        <f>L22+N22</f>
        <v>16311.728395061724</v>
      </c>
    </row>
    <row r="23" spans="6:15" x14ac:dyDescent="0.25">
      <c r="F23" s="32">
        <v>2</v>
      </c>
      <c r="G23" s="33">
        <f>+M8</f>
        <v>5</v>
      </c>
      <c r="H23" s="33">
        <f>+J5</f>
        <v>50</v>
      </c>
      <c r="I23" s="34">
        <f>+G23*H23</f>
        <v>250</v>
      </c>
      <c r="J23" s="33">
        <f>+(M8/2)+M13</f>
        <v>22.5</v>
      </c>
      <c r="K23" s="35">
        <f>+J23*I23</f>
        <v>5625</v>
      </c>
      <c r="L23" s="36">
        <f>+H23*G23^3/12</f>
        <v>520.83333333333337</v>
      </c>
      <c r="M23" s="36">
        <f>+J23-I44</f>
        <v>5.5555555555555571</v>
      </c>
      <c r="N23" s="36">
        <f>+I23*(M23^2)</f>
        <v>7716.0493827160535</v>
      </c>
      <c r="O23" s="36">
        <f>L23+N23</f>
        <v>8236.8827160493875</v>
      </c>
    </row>
    <row r="24" spans="6:15" x14ac:dyDescent="0.25">
      <c r="F24" s="37"/>
      <c r="G24" s="37"/>
      <c r="H24" s="37"/>
      <c r="I24" s="37"/>
      <c r="J24" s="37"/>
      <c r="K24" s="37"/>
      <c r="L24" s="37"/>
      <c r="M24" s="37"/>
      <c r="N24" s="37"/>
      <c r="O24" s="37" t="s">
        <v>35</v>
      </c>
    </row>
    <row r="25" spans="6:15" x14ac:dyDescent="0.25">
      <c r="F25" s="37"/>
      <c r="G25" s="37"/>
      <c r="H25" s="38" t="s">
        <v>36</v>
      </c>
      <c r="I25" s="39">
        <f>SUM(I22:I24)</f>
        <v>450</v>
      </c>
      <c r="J25" s="37"/>
      <c r="K25" s="40">
        <f>SUM(K22:K24)</f>
        <v>7625</v>
      </c>
      <c r="L25" s="41"/>
      <c r="M25" s="37"/>
      <c r="N25" s="41"/>
      <c r="O25" s="42">
        <f>SUM(O22:O24)</f>
        <v>24548.611111111109</v>
      </c>
    </row>
    <row r="28" spans="6:15" ht="15" customHeight="1" x14ac:dyDescent="0.25"/>
    <row r="29" spans="6:15" ht="15" customHeight="1" x14ac:dyDescent="0.25">
      <c r="J29" s="82" t="s">
        <v>37</v>
      </c>
      <c r="K29" s="82"/>
      <c r="L29" s="82"/>
      <c r="M29" s="83">
        <f>O25</f>
        <v>24548.611111111109</v>
      </c>
      <c r="N29" s="83"/>
    </row>
    <row r="30" spans="6:15" ht="15" customHeight="1" x14ac:dyDescent="0.25">
      <c r="J30" s="82"/>
      <c r="K30" s="82"/>
      <c r="L30" s="82"/>
      <c r="M30" s="83"/>
      <c r="N30" s="83"/>
    </row>
    <row r="31" spans="6:15" ht="15" customHeight="1" x14ac:dyDescent="0.25">
      <c r="J31" s="82"/>
      <c r="K31" s="82"/>
      <c r="L31" s="82"/>
      <c r="M31" s="83"/>
      <c r="N31" s="83"/>
    </row>
    <row r="34" spans="6:14" x14ac:dyDescent="0.25">
      <c r="F34" s="15" t="s">
        <v>38</v>
      </c>
      <c r="G34" s="15"/>
      <c r="H34" s="15"/>
      <c r="I34" s="15"/>
      <c r="J34" s="15"/>
      <c r="K34" s="15"/>
      <c r="L34" s="15"/>
      <c r="M34" s="15"/>
      <c r="N34" s="15"/>
    </row>
    <row r="35" spans="6:14" x14ac:dyDescent="0.25">
      <c r="F35" s="15"/>
      <c r="G35" s="15"/>
      <c r="H35" s="15"/>
      <c r="I35" s="15"/>
      <c r="J35" s="15"/>
      <c r="K35" s="15"/>
      <c r="L35" s="15"/>
      <c r="M35" s="15"/>
      <c r="N35" s="15"/>
    </row>
    <row r="36" spans="6:14" ht="15.75" thickBot="1" x14ac:dyDescent="0.3">
      <c r="F36" s="15" t="s">
        <v>39</v>
      </c>
      <c r="G36" s="15"/>
      <c r="H36" s="15"/>
      <c r="I36" s="15"/>
      <c r="J36" s="15"/>
      <c r="K36" s="15"/>
      <c r="L36" s="15"/>
      <c r="M36" s="15"/>
      <c r="N36" s="15"/>
    </row>
    <row r="37" spans="6:14" x14ac:dyDescent="0.25">
      <c r="F37" s="43" t="s">
        <v>28</v>
      </c>
      <c r="G37" s="15" t="s">
        <v>40</v>
      </c>
      <c r="H37" s="15"/>
      <c r="I37" s="15"/>
      <c r="J37" s="15"/>
      <c r="K37" s="44"/>
      <c r="L37" s="45"/>
      <c r="M37" s="46"/>
      <c r="N37" s="15"/>
    </row>
    <row r="38" spans="6:14" ht="15.75" thickBot="1" x14ac:dyDescent="0.3">
      <c r="F38" s="43" t="s">
        <v>29</v>
      </c>
      <c r="G38" s="15" t="s">
        <v>41</v>
      </c>
      <c r="H38" s="15"/>
      <c r="I38" s="15"/>
      <c r="J38" s="15"/>
      <c r="K38" s="47"/>
      <c r="L38" s="48"/>
      <c r="M38" s="49"/>
      <c r="N38" s="15"/>
    </row>
    <row r="39" spans="6:14" x14ac:dyDescent="0.25">
      <c r="F39" s="15"/>
      <c r="G39" s="15"/>
      <c r="H39" s="15"/>
      <c r="I39" s="15"/>
      <c r="J39" s="15"/>
      <c r="K39" s="50"/>
      <c r="L39" s="51"/>
      <c r="M39" s="50"/>
      <c r="N39" s="15"/>
    </row>
    <row r="40" spans="6:14" x14ac:dyDescent="0.25">
      <c r="F40" s="15"/>
      <c r="G40" s="15"/>
      <c r="H40" s="15"/>
      <c r="I40" s="15"/>
      <c r="J40" s="52">
        <f>+L23</f>
        <v>520.83333333333337</v>
      </c>
      <c r="L40" s="15"/>
      <c r="M40" s="15"/>
      <c r="N40" s="15"/>
    </row>
    <row r="41" spans="6:14" x14ac:dyDescent="0.25">
      <c r="F41" s="15"/>
      <c r="G41" s="15"/>
      <c r="H41" s="15"/>
      <c r="I41" s="15"/>
      <c r="J41" s="54">
        <f>+J23</f>
        <v>22.5</v>
      </c>
      <c r="K41" s="53"/>
      <c r="L41" s="15"/>
      <c r="M41" s="15"/>
      <c r="N41" s="15"/>
    </row>
    <row r="42" spans="6:14" x14ac:dyDescent="0.25">
      <c r="F42" s="15"/>
      <c r="G42" s="15"/>
      <c r="H42" s="15"/>
      <c r="I42" s="15"/>
      <c r="J42" s="15"/>
      <c r="K42" s="15"/>
      <c r="L42" s="15"/>
      <c r="M42" s="15"/>
      <c r="N42" s="15"/>
    </row>
    <row r="43" spans="6:14" x14ac:dyDescent="0.25">
      <c r="F43" s="15"/>
      <c r="G43" s="15"/>
      <c r="H43" s="15"/>
      <c r="I43" s="15"/>
      <c r="J43" s="15"/>
      <c r="K43" s="53">
        <f>I44</f>
        <v>16.944444444444443</v>
      </c>
      <c r="L43" s="15"/>
      <c r="M43" s="15"/>
      <c r="N43" s="15"/>
    </row>
    <row r="44" spans="6:14" x14ac:dyDescent="0.25">
      <c r="F44" s="15"/>
      <c r="G44" s="15"/>
      <c r="H44" s="13" t="s">
        <v>42</v>
      </c>
      <c r="I44" s="14">
        <f>K25/I25</f>
        <v>16.944444444444443</v>
      </c>
      <c r="J44" s="55" t="s">
        <v>43</v>
      </c>
      <c r="K44" s="15"/>
      <c r="L44" s="15"/>
      <c r="M44" s="15"/>
      <c r="N44" s="15"/>
    </row>
    <row r="45" spans="6:14" x14ac:dyDescent="0.25">
      <c r="F45" s="15"/>
      <c r="G45" s="15"/>
      <c r="H45" s="15"/>
      <c r="I45" s="15"/>
      <c r="J45" s="15"/>
      <c r="K45" s="15"/>
      <c r="L45" s="15"/>
      <c r="M45" s="15"/>
      <c r="N45" s="15"/>
    </row>
    <row r="46" spans="6:14" x14ac:dyDescent="0.25">
      <c r="F46" s="15"/>
      <c r="G46" s="15"/>
      <c r="H46" s="15"/>
      <c r="I46" s="15"/>
      <c r="J46" s="15"/>
      <c r="K46" s="15"/>
      <c r="L46" s="15"/>
      <c r="M46" s="15"/>
      <c r="N46" s="15"/>
    </row>
    <row r="47" spans="6:14" x14ac:dyDescent="0.25">
      <c r="F47" s="15"/>
      <c r="G47" s="15"/>
      <c r="H47" s="15"/>
      <c r="I47" s="15"/>
      <c r="J47" s="15"/>
      <c r="K47" s="15"/>
      <c r="L47" s="15"/>
      <c r="M47" s="15"/>
      <c r="N47" s="15"/>
    </row>
    <row r="48" spans="6:14" x14ac:dyDescent="0.25">
      <c r="F48" s="15"/>
      <c r="G48" s="15"/>
      <c r="H48" s="15"/>
      <c r="I48" s="15"/>
      <c r="J48" s="15"/>
      <c r="K48" s="15"/>
      <c r="L48" s="15"/>
      <c r="M48" s="15"/>
      <c r="N48" s="15"/>
    </row>
    <row r="49" spans="6:14" x14ac:dyDescent="0.25">
      <c r="F49" s="43" t="s">
        <v>32</v>
      </c>
      <c r="G49" s="15" t="s">
        <v>44</v>
      </c>
      <c r="H49" s="15"/>
      <c r="I49" s="15"/>
      <c r="J49" s="15"/>
      <c r="K49" s="15"/>
      <c r="L49" s="15"/>
      <c r="M49" s="15"/>
      <c r="N49" s="15"/>
    </row>
    <row r="50" spans="6:14" x14ac:dyDescent="0.25">
      <c r="F50" s="15"/>
      <c r="G50" s="15" t="s">
        <v>45</v>
      </c>
      <c r="H50" s="15"/>
      <c r="I50" s="15"/>
      <c r="J50" s="15"/>
      <c r="K50" s="15"/>
      <c r="L50" s="15"/>
      <c r="M50" s="15"/>
      <c r="N50" s="15"/>
    </row>
    <row r="52" spans="6:14" x14ac:dyDescent="0.25">
      <c r="F52" s="84" t="s">
        <v>46</v>
      </c>
      <c r="G52" s="84"/>
      <c r="H52" s="84"/>
    </row>
    <row r="57" spans="6:14" x14ac:dyDescent="0.25">
      <c r="H57" s="85">
        <f>(O25*12)/J5</f>
        <v>5891.6666666666661</v>
      </c>
      <c r="I57" s="86"/>
      <c r="J57" s="91">
        <f>POWER(H57,(1/3))</f>
        <v>18.061177298314771</v>
      </c>
      <c r="K57" s="92"/>
      <c r="L57" s="93" t="s">
        <v>4</v>
      </c>
    </row>
    <row r="58" spans="6:14" x14ac:dyDescent="0.25">
      <c r="H58" s="87"/>
      <c r="I58" s="88"/>
      <c r="J58" s="91"/>
      <c r="K58" s="92"/>
      <c r="L58" s="93"/>
    </row>
    <row r="59" spans="6:14" x14ac:dyDescent="0.25">
      <c r="H59" s="87"/>
      <c r="I59" s="88"/>
      <c r="J59" s="91"/>
      <c r="K59" s="92"/>
      <c r="L59" s="93"/>
    </row>
    <row r="60" spans="6:14" x14ac:dyDescent="0.25">
      <c r="H60" s="89"/>
      <c r="I60" s="90"/>
      <c r="J60" s="91"/>
      <c r="K60" s="92"/>
      <c r="L60" s="93"/>
    </row>
    <row r="66" spans="6:19" x14ac:dyDescent="0.25">
      <c r="G66" s="77" t="s">
        <v>47</v>
      </c>
      <c r="H66" s="77"/>
      <c r="I66" s="77"/>
      <c r="M66" s="78" t="s">
        <v>48</v>
      </c>
      <c r="N66" s="78"/>
      <c r="O66" s="78"/>
      <c r="P66" s="78"/>
    </row>
    <row r="67" spans="6:19" x14ac:dyDescent="0.25">
      <c r="G67" s="77"/>
      <c r="H67" s="77"/>
      <c r="I67" s="77"/>
      <c r="M67" s="78"/>
      <c r="N67" s="78"/>
      <c r="O67" s="78"/>
      <c r="P67" s="78"/>
    </row>
    <row r="68" spans="6:19" ht="15.75" thickBot="1" x14ac:dyDescent="0.3">
      <c r="F68" s="15"/>
      <c r="G68" s="15"/>
      <c r="H68" s="15"/>
      <c r="I68" s="15"/>
      <c r="J68" s="15"/>
      <c r="K68" s="15"/>
    </row>
    <row r="69" spans="6:19" ht="18.75" x14ac:dyDescent="0.25">
      <c r="F69" s="56">
        <v>5</v>
      </c>
      <c r="G69" s="57"/>
      <c r="H69" s="58"/>
      <c r="I69" s="59"/>
      <c r="J69" s="60"/>
      <c r="K69" s="15"/>
    </row>
    <row r="70" spans="6:19" ht="19.5" thickBot="1" x14ac:dyDescent="0.3">
      <c r="F70" s="15"/>
      <c r="G70" s="61"/>
      <c r="H70" s="62"/>
      <c r="I70" s="63"/>
      <c r="J70" s="64"/>
      <c r="K70" s="15"/>
    </row>
    <row r="71" spans="6:19" ht="18.75" x14ac:dyDescent="0.25">
      <c r="F71" s="15"/>
      <c r="G71" s="15"/>
      <c r="H71" s="65"/>
      <c r="I71" s="15"/>
      <c r="J71" s="15"/>
      <c r="K71" s="15"/>
      <c r="R71" s="66">
        <f>J57</f>
        <v>18.061177298314771</v>
      </c>
      <c r="S71" t="s">
        <v>4</v>
      </c>
    </row>
    <row r="72" spans="6:19" ht="18.75" x14ac:dyDescent="0.25">
      <c r="F72" s="15"/>
      <c r="G72" s="15"/>
      <c r="H72" s="67"/>
      <c r="I72" s="15"/>
      <c r="J72" s="15"/>
      <c r="K72" s="15"/>
    </row>
    <row r="73" spans="6:19" ht="18.75" x14ac:dyDescent="0.25">
      <c r="F73" s="15"/>
      <c r="G73" s="15"/>
      <c r="H73" s="67"/>
      <c r="I73" s="15"/>
      <c r="J73" s="15"/>
      <c r="K73" s="15"/>
    </row>
    <row r="74" spans="6:19" ht="18.75" x14ac:dyDescent="0.25">
      <c r="F74" s="56">
        <f>+M13</f>
        <v>20</v>
      </c>
      <c r="G74" s="15"/>
      <c r="H74" s="67"/>
      <c r="I74" s="25"/>
      <c r="J74" s="26"/>
      <c r="K74" s="25"/>
    </row>
    <row r="75" spans="6:19" ht="18.75" x14ac:dyDescent="0.25">
      <c r="F75" s="27"/>
      <c r="G75" s="15"/>
      <c r="H75" s="67"/>
      <c r="I75" s="15"/>
      <c r="J75" s="15"/>
      <c r="K75" s="15"/>
    </row>
    <row r="76" spans="6:19" ht="18.75" x14ac:dyDescent="0.25">
      <c r="F76" s="15"/>
      <c r="G76" s="15"/>
      <c r="H76" s="67"/>
      <c r="I76" s="15"/>
      <c r="J76" s="15"/>
      <c r="K76" s="15"/>
    </row>
    <row r="77" spans="6:19" ht="18.75" x14ac:dyDescent="0.25">
      <c r="F77" s="15"/>
      <c r="G77" s="15"/>
      <c r="H77" s="67"/>
      <c r="I77" s="15"/>
      <c r="J77" s="15"/>
      <c r="K77" s="15"/>
    </row>
    <row r="78" spans="6:19" ht="19.5" thickBot="1" x14ac:dyDescent="0.3">
      <c r="F78" s="15"/>
      <c r="G78" s="28"/>
      <c r="H78" s="68"/>
      <c r="I78" s="15"/>
      <c r="J78" s="15"/>
      <c r="K78" s="15"/>
    </row>
    <row r="79" spans="6:19" x14ac:dyDescent="0.25">
      <c r="F79" s="15"/>
      <c r="G79" s="30">
        <v>20</v>
      </c>
      <c r="H79" s="30">
        <v>10</v>
      </c>
      <c r="I79" s="30">
        <v>20</v>
      </c>
      <c r="J79" s="15"/>
      <c r="K79" s="15"/>
      <c r="N79" s="79">
        <v>50</v>
      </c>
      <c r="O79" s="79"/>
    </row>
  </sheetData>
  <mergeCells count="11">
    <mergeCell ref="G66:I67"/>
    <mergeCell ref="M66:P67"/>
    <mergeCell ref="N79:O79"/>
    <mergeCell ref="F1:P3"/>
    <mergeCell ref="J5:L6"/>
    <mergeCell ref="J29:L31"/>
    <mergeCell ref="M29:N31"/>
    <mergeCell ref="F52:H52"/>
    <mergeCell ref="H57:I60"/>
    <mergeCell ref="J57:K60"/>
    <mergeCell ref="L57:L60"/>
  </mergeCells>
  <pageMargins left="0.7" right="0.7" top="0.75" bottom="0.75" header="0.3" footer="0.3"/>
  <pageSetup orientation="portrait" horizontalDpi="360" verticalDpi="360" r:id="rId1"/>
  <drawing r:id="rId2"/>
  <legacyDrawing r:id="rId3"/>
  <oleObjects>
    <mc:AlternateContent xmlns:mc="http://schemas.openxmlformats.org/markup-compatibility/2006">
      <mc:Choice Requires="x14">
        <oleObject progId="Equation.3" shapeId="2049" r:id="rId4">
          <objectPr defaultSize="0" autoPict="0" r:id="rId5">
            <anchor moveWithCells="1">
              <from>
                <xdr:col>7</xdr:col>
                <xdr:colOff>0</xdr:colOff>
                <xdr:row>39</xdr:row>
                <xdr:rowOff>19050</xdr:rowOff>
              </from>
              <to>
                <xdr:col>9</xdr:col>
                <xdr:colOff>0</xdr:colOff>
                <xdr:row>42</xdr:row>
                <xdr:rowOff>0</xdr:rowOff>
              </to>
            </anchor>
          </objectPr>
        </oleObject>
      </mc:Choice>
      <mc:Fallback>
        <oleObject progId="Equation.3" shapeId="2049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20 CM</vt:lpstr>
      <vt:lpstr>DISEÑO DE LOSAS</vt:lpstr>
      <vt:lpstr>'20 CM'!Área_de_impresión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edisson chavez</dc:creator>
  <cp:lastModifiedBy>Daniela Marcillo</cp:lastModifiedBy>
  <cp:lastPrinted>2021-03-05T00:30:02Z</cp:lastPrinted>
  <dcterms:created xsi:type="dcterms:W3CDTF">2020-07-28T00:03:28Z</dcterms:created>
  <dcterms:modified xsi:type="dcterms:W3CDTF">2026-10-30T10:17:10Z</dcterms:modified>
</cp:coreProperties>
</file>